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0B288085-075D-4034-8D1F-971BE95A1594}" xr6:coauthVersionLast="47" xr6:coauthVersionMax="47" xr10:uidLastSave="{00000000-0000-0000-0000-000000000000}"/>
  <bookViews>
    <workbookView xWindow="-108" yWindow="-108" windowWidth="23256" windowHeight="12456" activeTab="5"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Sheet2" sheetId="20" r:id="rId7"/>
    <sheet name="Cleaned_Data" sheetId="3" r:id="rId8"/>
    <sheet name="Sheet1" sheetId="1" r:id="rId9"/>
  </sheets>
  <definedNames>
    <definedName name="ExternalData_1" localSheetId="7"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20" l="1"/>
  <c r="AB4" i="14"/>
  <c r="AB6" i="14"/>
  <c r="AB5" i="14"/>
  <c r="N6" i="14"/>
  <c r="L56" i="9"/>
  <c r="O10" i="14"/>
  <c r="N10" i="14"/>
  <c r="O9" i="14"/>
  <c r="O8" i="14"/>
  <c r="N9" i="14"/>
  <c r="N8" i="14"/>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<sst xmlns="http://schemas.openxmlformats.org/spreadsheetml/2006/main" count="4408" uniqueCount="1574">
  <si>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</si>
  <si>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</si>
  <si>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</si>
  <si>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</si>
  <si>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</si>
  <si>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</si>
  <si>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</si>
  <si>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</si>
  <si>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</si>
  <si>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</si>
  <si>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</si>
  <si>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</si>
  <si>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</si>
  <si>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</si>
  <si>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</si>
  <si>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</si>
  <si>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</si>
  <si>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</si>
  <si>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</si>
  <si>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</si>
  <si>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</si>
  <si>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</si>
  <si>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</si>
  <si>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</si>
  <si>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</si>
  <si>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</si>
  <si>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</si>
  <si>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</si>
  <si>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</si>
  <si>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</si>
  <si>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</si>
  <si>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</si>
  <si>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</si>
  <si>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</si>
  <si>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</si>
  <si>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</si>
  <si>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</si>
  <si>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</si>
  <si>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</si>
  <si>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</si>
  <si>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</si>
  <si>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</si>
  <si>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</si>
  <si>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</si>
  <si>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</si>
  <si>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</si>
  <si>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</si>
  <si>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</si>
  <si>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</si>
  <si>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</si>
  <si>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</si>
  <si>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</si>
  <si>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</si>
  <si>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</si>
  <si>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</si>
  <si>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</si>
  <si>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</si>
  <si>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</si>
  <si>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</si>
  <si>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</si>
  <si>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</si>
  <si>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</si>
  <si>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</si>
  <si>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</si>
  <si>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</si>
  <si>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</si>
  <si>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</si>
  <si>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</si>
  <si>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</si>
  <si>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</si>
  <si>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</si>
  <si>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</si>
  <si>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</si>
  <si>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</si>
  <si>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</si>
  <si>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</si>
  <si>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</si>
  <si>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</si>
  <si>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</si>
  <si>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</si>
  <si>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</si>
  <si>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</si>
  <si>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</si>
  <si>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</si>
  <si>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</si>
  <si>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</si>
  <si>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</si>
  <si>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</si>
  <si>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</si>
  <si>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</si>
  <si>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</si>
  <si>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</si>
  <si>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</si>
  <si>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</si>
  <si>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</si>
  <si>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</si>
  <si>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</si>
  <si>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</si>
  <si>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</si>
  <si>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</si>
  <si>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</si>
  <si>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</si>
  <si>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</si>
  <si>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</si>
  <si>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</si>
  <si>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</si>
  <si>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</si>
  <si>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</si>
  <si>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</si>
  <si>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</si>
  <si>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</si>
  <si>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</si>
  <si>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</si>
  <si>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</si>
  <si>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</si>
  <si>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</si>
  <si>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</si>
  <si>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</si>
  <si>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</si>
  <si>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</si>
  <si>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</si>
  <si>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</si>
  <si>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</si>
  <si>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</si>
  <si>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</si>
  <si>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</si>
  <si>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</si>
  <si>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</si>
  <si>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</si>
  <si>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</si>
  <si>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</si>
  <si>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</si>
  <si>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</si>
  <si>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</si>
  <si>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</si>
  <si>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</si>
  <si>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</si>
  <si>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</si>
  <si>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</si>
  <si>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</si>
  <si>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</si>
  <si>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</si>
  <si>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</si>
  <si>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</si>
  <si>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</si>
  <si>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</si>
  <si>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</si>
  <si>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</si>
  <si>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</si>
  <si>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</si>
  <si>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</si>
  <si>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</si>
  <si>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</si>
  <si>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</si>
  <si>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</si>
  <si>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</si>
  <si>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</si>
  <si>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</si>
  <si>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</si>
  <si>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</si>
  <si>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</si>
  <si>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</si>
  <si>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</si>
  <si>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</si>
  <si>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</si>
  <si>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</si>
  <si>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</si>
  <si>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</si>
  <si>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</si>
  <si>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</si>
  <si>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</si>
  <si>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</si>
  <si>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</si>
  <si>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</si>
  <si>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</si>
  <si>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</si>
  <si>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</si>
  <si>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</si>
  <si>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</si>
  <si>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</si>
  <si>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</si>
  <si>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</si>
  <si>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</si>
  <si>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</si>
  <si>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</si>
  <si>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</si>
  <si>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</si>
  <si>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</si>
  <si>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</si>
  <si>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</si>
  <si>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</si>
  <si>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</si>
  <si>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</si>
  <si>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</si>
  <si>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</si>
  <si>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</si>
  <si>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</si>
  <si>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</si>
  <si>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</si>
  <si>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</si>
  <si>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</si>
  <si>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</si>
  <si>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</si>
  <si>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</si>
  <si>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</si>
  <si>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</si>
  <si>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</si>
  <si>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</si>
  <si>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</si>
  <si>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</si>
  <si>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</si>
  <si>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</si>
  <si>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</si>
  <si>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</si>
  <si>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</si>
  <si>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</si>
  <si>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</si>
  <si>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</si>
  <si>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</si>
  <si>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</si>
  <si>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</si>
  <si>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</si>
  <si>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</si>
  <si>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</si>
  <si>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</si>
  <si>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</si>
  <si>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</si>
  <si>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</si>
  <si>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</si>
  <si>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</si>
  <si>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</si>
  <si>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</si>
  <si>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</si>
  <si>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</si>
  <si>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</si>
  <si>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</si>
  <si>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</si>
  <si>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</si>
  <si>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</si>
  <si>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</si>
  <si>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</si>
  <si>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</si>
  <si>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</si>
  <si>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</si>
  <si>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</si>
  <si>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</si>
  <si>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</si>
  <si>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</si>
  <si>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</si>
  <si>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</si>
  <si>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</si>
  <si>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</si>
  <si>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</si>
  <si>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</si>
  <si>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</si>
  <si>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</si>
  <si>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</si>
  <si>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</si>
  <si>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</si>
  <si>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</si>
  <si>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</si>
  <si>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</si>
  <si>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</si>
  <si>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</si>
  <si>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</si>
  <si>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</si>
  <si>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</si>
  <si>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</si>
  <si>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</si>
  <si>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</si>
  <si>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</si>
  <si>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</si>
  <si>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</si>
  <si>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</si>
  <si>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</si>
  <si>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</si>
  <si>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</si>
  <si>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</si>
  <si>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</si>
  <si>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</si>
  <si>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</si>
  <si>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</si>
  <si>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</si>
  <si>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</si>
  <si>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</si>
  <si>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</si>
  <si>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</si>
  <si>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</si>
  <si>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</si>
  <si>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</si>
  <si>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</si>
  <si>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</si>
  <si>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</si>
  <si>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</si>
  <si>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</si>
  <si>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</si>
  <si>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</si>
  <si>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</si>
  <si>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</si>
  <si>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</si>
  <si>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</si>
  <si>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</si>
  <si>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</si>
  <si>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</si>
  <si>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</si>
  <si>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</si>
  <si>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</si>
  <si>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</si>
  <si>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</si>
  <si>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</si>
  <si>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</si>
  <si>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</si>
  <si>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</si>
  <si>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</si>
  <si>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</si>
  <si>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</si>
  <si>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</si>
  <si>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</si>
  <si>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</si>
  <si>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</si>
  <si>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</si>
  <si>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</si>
  <si>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</si>
  <si>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</si>
  <si>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</si>
  <si>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</si>
  <si>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</si>
  <si>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</si>
  <si>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</si>
  <si>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</si>
  <si>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</si>
  <si>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</si>
  <si>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</si>
  <si>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</si>
  <si>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</si>
  <si>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</si>
  <si>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</si>
  <si>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</si>
  <si>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</si>
  <si>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</si>
  <si>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</si>
  <si>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</si>
  <si>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</si>
  <si>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</si>
  <si>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</si>
  <si>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</si>
  <si>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</si>
  <si>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</si>
  <si>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</si>
  <si>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</si>
  <si>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</si>
  <si>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</si>
  <si>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</si>
  <si>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</si>
  <si>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</si>
  <si>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</si>
  <si>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</si>
  <si>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</si>
  <si>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</si>
  <si>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</si>
  <si>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</si>
  <si>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</si>
  <si>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</si>
  <si>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</si>
  <si>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</si>
  <si>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</si>
  <si>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</si>
  <si>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</si>
  <si>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</si>
  <si>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</si>
  <si>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</si>
  <si>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</si>
  <si>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</si>
  <si>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</si>
  <si>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</si>
  <si>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</si>
  <si>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</si>
  <si>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</si>
  <si>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</si>
  <si>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</si>
  <si>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</si>
  <si>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</si>
  <si>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</si>
  <si>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</si>
  <si>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</si>
  <si>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</si>
  <si>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</si>
  <si>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</si>
  <si>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</si>
  <si>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</si>
  <si>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</si>
  <si>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</si>
  <si>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</si>
  <si>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</si>
  <si>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</si>
  <si>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</si>
  <si>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</si>
  <si>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</si>
  <si>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</si>
  <si>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</si>
  <si>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</si>
  <si>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</si>
  <si>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</si>
  <si>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</si>
  <si>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</si>
  <si>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</si>
  <si>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</si>
  <si>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</si>
  <si>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</si>
  <si>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</si>
  <si>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</si>
  <si>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</si>
  <si>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</si>
  <si>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</si>
  <si>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</si>
  <si>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</si>
  <si>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</si>
  <si>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</si>
  <si>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</si>
  <si>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</si>
  <si>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</si>
  <si>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</si>
  <si>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</si>
  <si>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</si>
  <si>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</si>
  <si>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</si>
  <si>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</si>
  <si>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</si>
  <si>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</si>
  <si>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</si>
  <si>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</si>
  <si>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</si>
  <si>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</si>
  <si>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</si>
  <si>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</si>
  <si>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</si>
  <si>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</si>
  <si>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</si>
  <si>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</si>
  <si>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</si>
  <si>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</si>
  <si>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</si>
  <si>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</si>
  <si>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</si>
  <si>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</si>
  <si>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</si>
  <si>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</si>
  <si>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</si>
  <si>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</si>
  <si>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</si>
  <si>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</si>
  <si>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</si>
  <si>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</si>
  <si>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</si>
  <si>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</si>
  <si>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</si>
  <si>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</si>
  <si>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</si>
  <si>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</si>
  <si>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</si>
  <si>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</si>
  <si>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</si>
  <si>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</si>
  <si>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</si>
  <si>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</si>
  <si>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</si>
  <si>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</si>
  <si>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</si>
  <si>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</si>
  <si>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</si>
  <si>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</si>
  <si>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</si>
  <si>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</si>
  <si>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</si>
  <si>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</si>
  <si>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</si>
  <si>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</si>
  <si>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</si>
  <si>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</si>
  <si>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</si>
  <si>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</si>
  <si>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</si>
  <si>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</si>
  <si>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</si>
  <si>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</si>
  <si>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</si>
  <si>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</si>
  <si>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</si>
  <si>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</si>
  <si>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</si>
  <si>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</si>
  <si>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</si>
  <si>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</si>
  <si>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</si>
  <si>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</si>
  <si>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</si>
  <si>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</si>
  <si>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</si>
  <si>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</si>
  <si>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</si>
  <si>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</si>
  <si>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</si>
  <si>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</si>
  <si>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</si>
  <si>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</si>
  <si>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</si>
  <si>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</si>
  <si>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</si>
  <si>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</si>
  <si>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</si>
  <si>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</si>
  <si>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</si>
  <si>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</si>
  <si>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</si>
  <si>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</si>
  <si>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</si>
  <si>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</si>
  <si>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</si>
  <si>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</si>
  <si>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</si>
  <si>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</si>
  <si>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</si>
  <si>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</si>
  <si>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</si>
  <si>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</si>
  <si>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</si>
  <si>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</si>
  <si>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</si>
  <si>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</si>
  <si>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</si>
  <si>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</si>
  <si>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</si>
  <si>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</si>
  <si>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</si>
  <si>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</si>
  <si>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</si>
  <si>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</si>
  <si>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</si>
  <si>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</si>
  <si>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</si>
  <si>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</si>
  <si>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</si>
  <si>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</si>
  <si>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</si>
  <si>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</si>
  <si>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</si>
  <si>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</si>
  <si>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</si>
  <si>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</si>
  <si>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</si>
  <si>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</si>
  <si>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</si>
  <si>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</si>
  <si>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</si>
  <si>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</si>
  <si>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</si>
  <si>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</si>
  <si>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</si>
  <si>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</si>
  <si>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</si>
  <si>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</si>
  <si>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</si>
  <si>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</si>
  <si>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</si>
  <si>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</si>
  <si>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</si>
  <si>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</si>
  <si>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</si>
  <si>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</si>
  <si>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</si>
  <si>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</si>
  <si>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</si>
  <si>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</si>
  <si>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</si>
  <si>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</si>
  <si>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</si>
  <si>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</si>
  <si>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</si>
  <si>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</si>
  <si>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</si>
  <si>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</si>
  <si>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</si>
  <si>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</si>
  <si>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</si>
  <si>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</si>
  <si>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</si>
  <si>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</si>
  <si>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</si>
  <si>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</si>
  <si>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</si>
  <si>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</si>
  <si>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</si>
  <si>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</si>
  <si>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</si>
  <si>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</si>
  <si>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</si>
  <si>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</si>
  <si>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</si>
  <si>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</si>
  <si>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</si>
  <si>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</si>
  <si>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</si>
  <si>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</si>
  <si>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</si>
  <si>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</si>
  <si>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</si>
  <si>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</si>
  <si>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</si>
  <si>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</si>
  <si>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</si>
  <si>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</si>
  <si>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</si>
  <si>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</si>
  <si>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</si>
  <si>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</si>
  <si>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</si>
  <si>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</si>
  <si>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</si>
  <si>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</si>
  <si>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</si>
  <si>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</si>
  <si>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</si>
  <si>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</si>
  <si>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</si>
  <si>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</si>
  <si>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</si>
  <si>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</si>
  <si>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</si>
  <si>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</si>
  <si>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</si>
  <si>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</si>
  <si>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</si>
  <si>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</si>
  <si>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</si>
  <si>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</si>
  <si>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</si>
  <si>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</si>
  <si>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</si>
  <si>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</si>
  <si>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</si>
  <si>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</si>
  <si>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</si>
  <si>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</si>
  <si>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</si>
  <si>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</si>
  <si>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</si>
  <si>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</si>
  <si>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</si>
  <si>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</si>
  <si>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</si>
  <si>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</si>
  <si>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</si>
  <si>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</si>
  <si>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</si>
  <si>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</si>
  <si>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</si>
  <si>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</si>
  <si>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</si>
  <si>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</si>
  <si>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</si>
  <si>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</si>
  <si>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</si>
  <si>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</si>
  <si>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</si>
  <si>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</si>
  <si>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</si>
  <si>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</si>
  <si>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</si>
  <si>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</si>
  <si>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</si>
  <si>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</si>
  <si>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</si>
  <si>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</si>
  <si>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</si>
  <si>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</si>
  <si>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</si>
  <si>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</si>
  <si>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</si>
  <si>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</si>
  <si>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</si>
  <si>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</si>
  <si>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</si>
  <si>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</si>
  <si>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</si>
  <si>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</si>
  <si>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</si>
  <si>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</si>
  <si>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</si>
  <si>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</si>
  <si>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</si>
  <si>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</si>
  <si>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</si>
  <si>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</si>
  <si>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</si>
  <si>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</si>
  <si>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</si>
  <si>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</si>
  <si>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</si>
  <si>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</si>
  <si>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</si>
  <si>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</si>
  <si>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</si>
  <si>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</si>
  <si>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</si>
  <si>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</si>
  <si>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</si>
  <si>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</si>
  <si>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</si>
  <si>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</si>
  <si>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</si>
  <si>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</si>
  <si>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</si>
  <si>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</si>
  <si>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</si>
  <si>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</si>
  <si>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</si>
  <si>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</si>
  <si>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</si>
  <si>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</si>
  <si>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</si>
  <si>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</si>
  <si>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</si>
  <si>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</si>
  <si>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</si>
  <si>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</si>
  <si>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</si>
  <si>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</si>
  <si>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</si>
  <si>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</si>
  <si>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</si>
  <si>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</si>
  <si>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</si>
  <si>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</si>
  <si>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</si>
  <si>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</si>
  <si>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</si>
  <si>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</si>
  <si>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</si>
  <si>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</si>
  <si>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</si>
  <si>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</si>
  <si>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</si>
  <si>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</si>
  <si>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</si>
  <si>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</si>
  <si>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</si>
  <si>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</si>
  <si>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</si>
  <si>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</si>
  <si>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</si>
  <si>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</si>
  <si>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</si>
  <si>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</si>
  <si>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</si>
  <si>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</si>
  <si>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</si>
  <si>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</si>
  <si>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</si>
  <si>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</si>
  <si>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</si>
  <si>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</si>
  <si>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</si>
  <si>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</si>
  <si>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</si>
  <si>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</si>
  <si>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</si>
  <si>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</si>
  <si>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</si>
  <si>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</si>
  <si>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</si>
  <si>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</si>
  <si>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</si>
  <si>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</si>
  <si>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</si>
  <si>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</si>
  <si>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</si>
  <si>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</si>
  <si>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</si>
  <si>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</si>
  <si>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</si>
  <si>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</si>
  <si>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</si>
  <si>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</si>
  <si>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</si>
  <si>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</si>
  <si>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</si>
  <si>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</si>
  <si>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</si>
  <si>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</si>
  <si>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</si>
  <si>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</si>
  <si>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</si>
  <si>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</si>
  <si>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</si>
  <si>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</si>
  <si>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</si>
  <si>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</si>
  <si>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</si>
  <si>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</si>
  <si>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</si>
  <si>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</si>
  <si>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</si>
  <si>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</si>
  <si>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</si>
  <si>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</si>
  <si>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</si>
  <si>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</si>
  <si>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</si>
  <si>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</si>
  <si>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</si>
  <si>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</si>
  <si>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</si>
  <si>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</si>
  <si>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</si>
  <si>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</si>
  <si>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</si>
  <si>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</si>
  <si>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</si>
  <si>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</si>
  <si>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</si>
  <si>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</si>
  <si>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</si>
  <si>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</si>
  <si>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</si>
  <si>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</si>
  <si>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</si>
  <si>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</si>
  <si>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</si>
  <si>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</si>
  <si>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</si>
  <si>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</si>
  <si>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</si>
  <si>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</si>
  <si>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</si>
  <si>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</si>
  <si>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</si>
  <si>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</si>
  <si>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</si>
  <si>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</si>
  <si>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</si>
  <si>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</si>
  <si>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</si>
  <si>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</si>
  <si>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</si>
  <si>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</si>
  <si>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</si>
  <si>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</si>
  <si>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</si>
  <si>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</si>
  <si>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</si>
  <si>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</si>
  <si>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</si>
  <si>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</si>
  <si>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</si>
  <si>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</si>
  <si>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</si>
  <si>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</si>
  <si>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</si>
  <si>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</si>
  <si>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</si>
  <si>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</si>
  <si>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</si>
  <si>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</si>
  <si>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</si>
  <si>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</si>
  <si>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</si>
  <si>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</si>
  <si>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</si>
  <si>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</si>
  <si>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</si>
  <si>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</si>
  <si>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</si>
  <si>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</si>
  <si>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</si>
  <si>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</si>
  <si>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</si>
  <si>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</si>
  <si>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</si>
  <si>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</si>
  <si>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</si>
  <si>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</si>
  <si>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</si>
  <si>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</si>
  <si>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</si>
  <si>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</si>
  <si>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</si>
  <si>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</si>
  <si>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</si>
  <si>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</si>
  <si>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</si>
  <si>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</si>
  <si>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</si>
  <si>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</si>
  <si>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</si>
  <si>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</si>
  <si>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</si>
  <si>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</si>
  <si>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</si>
  <si>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</si>
  <si>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</si>
  <si>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</si>
  <si>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</si>
  <si>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</si>
  <si>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</si>
  <si>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</si>
  <si>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</si>
  <si>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</si>
  <si>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</si>
  <si>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</si>
  <si>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</si>
  <si>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</si>
  <si>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</si>
  <si>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</si>
  <si>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</si>
  <si>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</si>
  <si>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</si>
  <si>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</si>
  <si>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</si>
  <si>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</si>
  <si>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</si>
  <si>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</si>
  <si>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</si>
  <si>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</si>
  <si>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</si>
  <si>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</si>
  <si>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</si>
  <si>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</si>
  <si>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</si>
  <si>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</si>
  <si>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</si>
  <si>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</si>
  <si>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</si>
  <si>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</si>
  <si>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</si>
  <si>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</si>
  <si>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</si>
  <si>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</si>
  <si>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</si>
  <si>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</si>
  <si>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</si>
  <si>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</si>
  <si>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</si>
  <si>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</si>
  <si>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</si>
  <si>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</si>
  <si>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</si>
  <si>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</si>
  <si>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</si>
  <si>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</si>
  <si>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</si>
  <si>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</si>
  <si>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</si>
  <si>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</si>
  <si>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</si>
  <si>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</si>
  <si>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</si>
  <si>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</si>
  <si>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</si>
  <si>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</si>
  <si>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</si>
  <si>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</si>
  <si>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</si>
  <si>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</si>
  <si>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</si>
  <si>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</si>
  <si>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</si>
  <si>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</si>
  <si>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</si>
  <si>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</si>
  <si>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</si>
  <si>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</si>
  <si>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</si>
  <si>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</si>
  <si>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</si>
  <si>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</si>
  <si>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</si>
  <si>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</si>
  <si>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</si>
  <si>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</si>
  <si>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</si>
  <si>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</si>
  <si>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</si>
  <si>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</si>
  <si>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</si>
  <si>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</si>
  <si>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</si>
  <si>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</si>
  <si>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</si>
  <si>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</si>
  <si>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</si>
  <si>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</si>
  <si>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</si>
  <si>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</si>
  <si>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</si>
  <si>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</si>
  <si>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</si>
  <si>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</si>
  <si>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</si>
  <si>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</si>
  <si>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</si>
  <si>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</si>
  <si>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</si>
  <si>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</si>
  <si>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</si>
  <si>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</si>
  <si>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</si>
  <si>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</si>
  <si>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</si>
  <si>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</si>
  <si>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</si>
  <si>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</si>
  <si>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</si>
  <si>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</si>
  <si>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</si>
  <si>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</si>
  <si>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</si>
  <si>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</si>
  <si>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</si>
  <si>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</si>
  <si>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</si>
  <si>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</si>
  <si>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</si>
  <si>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</si>
  <si>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</si>
  <si>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</si>
  <si>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</si>
  <si>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</si>
  <si>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</si>
  <si>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</si>
  <si>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</si>
  <si>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</si>
  <si>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</si>
  <si>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</si>
  <si>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</si>
  <si>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</si>
  <si>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</si>
  <si>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</si>
  <si>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</si>
  <si>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</si>
  <si>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</si>
  <si>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</si>
  <si>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</si>
  <si>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</si>
  <si>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</si>
  <si>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</si>
  <si>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</si>
  <si>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</si>
  <si>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</si>
  <si>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</si>
  <si>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</si>
  <si>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</si>
  <si>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</si>
  <si>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</si>
  <si>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</si>
  <si>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</si>
  <si>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</si>
  <si>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</si>
  <si>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</si>
  <si>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</si>
  <si>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</si>
  <si>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</si>
  <si>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</si>
  <si>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</si>
  <si>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</si>
  <si>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</si>
  <si>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</si>
  <si>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</si>
  <si>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</si>
  <si>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</si>
  <si>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</si>
  <si>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</si>
  <si>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</si>
  <si>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</si>
  <si>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</si>
  <si>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</si>
  <si>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</si>
  <si>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</si>
  <si>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</si>
  <si>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</si>
  <si>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</si>
  <si>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</si>
  <si>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</si>
  <si>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</si>
  <si>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</si>
  <si>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</si>
  <si>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</si>
  <si>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</si>
  <si>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</si>
  <si>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</si>
  <si>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</si>
  <si>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</si>
  <si>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</si>
  <si>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</si>
  <si>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</si>
  <si>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</si>
  <si>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</si>
  <si>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</si>
  <si>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</si>
  <si>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</si>
  <si>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</si>
  <si>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</si>
  <si>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</si>
  <si>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</si>
  <si>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</si>
  <si>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</si>
  <si>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</si>
  <si>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</si>
  <si>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</si>
  <si>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</si>
  <si>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</si>
  <si>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</si>
  <si>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</si>
  <si>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</si>
  <si>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</si>
  <si>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</si>
  <si>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</si>
  <si>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</si>
  <si>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</si>
  <si>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</si>
  <si>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</si>
  <si>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</si>
  <si>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</si>
  <si>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</si>
  <si>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</si>
  <si>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</si>
  <si>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</si>
  <si>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</si>
  <si>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</si>
  <si>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</si>
  <si>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</si>
  <si>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</si>
  <si>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</si>
  <si>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</si>
  <si>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</si>
  <si>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</si>
  <si>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</si>
  <si>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</si>
  <si>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</si>
  <si>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</si>
  <si>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</si>
  <si>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</si>
  <si>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</si>
  <si>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</si>
  <si>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</si>
  <si>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</si>
  <si>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</si>
  <si>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</si>
  <si>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</si>
  <si>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</si>
  <si>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</si>
  <si>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</si>
  <si>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</si>
  <si>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</si>
  <si>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</si>
  <si>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</si>
  <si>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</si>
  <si>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</si>
  <si>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</si>
  <si>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</si>
  <si>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</si>
  <si>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</si>
  <si>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</si>
  <si>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</si>
  <si>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</si>
  <si>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</si>
  <si>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</si>
  <si>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</si>
  <si>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</si>
  <si>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</si>
  <si>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</si>
  <si>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</si>
  <si>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</si>
  <si>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</si>
  <si>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</si>
  <si>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</si>
  <si>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</si>
  <si>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</si>
  <si>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</si>
  <si>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</si>
  <si>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</si>
  <si>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</si>
  <si>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</si>
  <si>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</si>
  <si>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</si>
  <si>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</si>
  <si>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</si>
  <si>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</si>
  <si>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</si>
  <si>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</si>
  <si>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</si>
  <si>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</si>
  <si>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</si>
  <si>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</si>
  <si>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</si>
  <si>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</si>
  <si>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</si>
  <si>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</si>
  <si>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</si>
  <si>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</si>
  <si>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</si>
  <si>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</si>
  <si>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</si>
  <si>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</si>
  <si>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</si>
  <si>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</si>
  <si>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</si>
  <si>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</si>
  <si>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</si>
  <si>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</si>
  <si>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</si>
  <si>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</si>
  <si>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</si>
  <si>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</si>
  <si>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</si>
  <si>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</si>
  <si>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</si>
  <si>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</si>
  <si>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</si>
  <si>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</si>
  <si>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</si>
  <si>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</si>
  <si>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</si>
  <si>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</si>
  <si>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</si>
  <si>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</si>
  <si>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</si>
  <si>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</si>
  <si>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</si>
  <si>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</si>
  <si>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</si>
  <si>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</si>
  <si>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</si>
  <si>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</si>
  <si>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</si>
  <si>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</si>
  <si>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</si>
  <si>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</si>
  <si>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</si>
  <si>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</si>
  <si>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</si>
  <si>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</si>
  <si>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</si>
  <si>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</si>
  <si>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</si>
  <si>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</si>
  <si>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</si>
  <si>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</si>
  <si>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</si>
  <si>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</si>
  <si>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</si>
  <si>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</si>
  <si>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</si>
  <si>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</si>
  <si>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</si>
  <si>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</si>
  <si>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</si>
  <si>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</si>
  <si>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</si>
  <si>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</si>
  <si>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</si>
  <si>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</si>
  <si>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</si>
  <si>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</si>
  <si>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</si>
  <si>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</si>
  <si>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</si>
  <si>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</si>
  <si>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</si>
  <si>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</si>
  <si>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</si>
  <si>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</si>
  <si>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</si>
  <si>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</si>
  <si>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</si>
  <si>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</si>
  <si>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</si>
  <si>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</si>
  <si>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</si>
  <si>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</si>
  <si>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</si>
  <si>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</si>
  <si>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</si>
  <si>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</si>
  <si>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</si>
  <si>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</si>
  <si>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</si>
  <si>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</si>
  <si>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</si>
  <si>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</si>
  <si>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</si>
  <si>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</si>
  <si>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</si>
  <si>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</si>
  <si>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</si>
  <si>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</si>
  <si>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</si>
  <si>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</si>
  <si>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</si>
  <si>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</si>
  <si>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</si>
  <si>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</si>
  <si>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</si>
  <si>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</si>
  <si>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</si>
  <si>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</si>
  <si>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</si>
  <si>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</si>
  <si>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</si>
  <si>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</si>
  <si>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</si>
  <si>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</si>
  <si>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</si>
  <si>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</si>
  <si>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</si>
  <si>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</si>
  <si>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</si>
  <si>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</si>
  <si>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</si>
  <si>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</si>
  <si>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</si>
  <si>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</si>
  <si>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</si>
  <si>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</si>
  <si>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</si>
  <si>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</si>
  <si>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</si>
  <si>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</si>
  <si>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</si>
  <si>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</si>
  <si>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</si>
  <si>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</si>
  <si>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</si>
  <si>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</si>
  <si>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</si>
  <si>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</si>
  <si>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</si>
  <si>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</si>
  <si>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</si>
  <si>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</si>
  <si>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</si>
  <si>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</si>
  <si>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</si>
  <si>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</si>
  <si>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</si>
  <si>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</si>
  <si>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</si>
  <si>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</si>
  <si>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</si>
  <si>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</si>
  <si>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</si>
  <si>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</si>
  <si>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</si>
  <si>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</si>
  <si>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</si>
  <si>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</si>
  <si>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</si>
  <si>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</si>
  <si>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</si>
  <si>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</si>
  <si>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</si>
  <si>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</si>
  <si>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</si>
  <si>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</si>
  <si>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</si>
  <si>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</si>
  <si>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</si>
  <si>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</si>
  <si>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</si>
  <si>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</si>
  <si>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</si>
  <si>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</si>
  <si>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</si>
  <si>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</si>
  <si>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</si>
  <si>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</si>
  <si>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</si>
  <si>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</si>
  <si>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</si>
  <si>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</si>
  <si>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</si>
  <si>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</si>
  <si>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</si>
  <si>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</si>
  <si>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</si>
  <si>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</si>
  <si>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</si>
  <si>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</si>
  <si>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</si>
  <si>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</si>
  <si>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</si>
  <si>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</si>
  <si>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</si>
  <si>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</si>
  <si>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</si>
  <si>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</si>
  <si>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</si>
  <si>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</si>
  <si>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</si>
  <si>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</si>
  <si>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</si>
  <si>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</si>
  <si>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</si>
  <si>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</si>
  <si>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</si>
  <si>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</si>
  <si>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</si>
  <si>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</si>
  <si>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</si>
  <si>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</si>
  <si>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</si>
  <si>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</si>
  <si>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</si>
  <si>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</si>
  <si>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</si>
  <si>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</si>
  <si>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</si>
  <si>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</si>
  <si>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</si>
  <si>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</si>
  <si>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</si>
  <si>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</si>
  <si>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</si>
  <si>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</si>
  <si>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</si>
  <si>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</si>
  <si>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</si>
  <si>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</si>
  <si>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</si>
  <si>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</si>
  <si>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</si>
  <si>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</si>
  <si>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</si>
  <si>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</si>
  <si>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</si>
  <si>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</si>
  <si>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</si>
  <si>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</si>
  <si>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</si>
  <si>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</si>
  <si>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</si>
  <si>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</si>
  <si>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</si>
  <si>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</si>
  <si>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</si>
  <si>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</si>
  <si>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</si>
  <si>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</si>
  <si>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</si>
  <si>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</si>
  <si>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</si>
  <si>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</si>
  <si>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</si>
  <si>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</si>
  <si>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</si>
  <si>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</si>
  <si>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</si>
  <si>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</si>
  <si>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</si>
  <si>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</si>
  <si>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</si>
  <si>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</si>
  <si>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</si>
  <si>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</si>
  <si>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</si>
  <si>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</si>
  <si>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</si>
  <si>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</si>
  <si>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</si>
  <si>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</si>
  <si>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</si>
  <si>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</si>
  <si>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</si>
  <si>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</si>
  <si>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</si>
  <si>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</si>
  <si>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</si>
  <si>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</si>
  <si>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</si>
  <si>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</si>
  <si>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</si>
  <si>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</si>
  <si>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</si>
  <si>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</si>
  <si>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</si>
  <si>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</si>
  <si>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</si>
  <si>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</si>
  <si>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</si>
  <si>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</si>
  <si>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</si>
  <si>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</si>
  <si>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</si>
  <si>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</si>
  <si>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</si>
  <si>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</si>
  <si>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</si>
  <si>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</si>
  <si>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</si>
  <si>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</si>
  <si>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</si>
  <si>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</si>
  <si>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</si>
  <si>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</si>
  <si>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</si>
  <si>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</si>
  <si>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</si>
  <si>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</si>
  <si>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</si>
  <si>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</si>
  <si>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</si>
  <si>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</si>
  <si>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</si>
  <si>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</si>
  <si>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</si>
  <si>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</si>
  <si>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</si>
  <si>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</si>
  <si>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</si>
  <si>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</si>
  <si>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</si>
  <si>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</si>
  <si>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</si>
  <si>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</si>
  <si>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</si>
  <si>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</si>
  <si>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</si>
  <si>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</si>
  <si>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</si>
  <si>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</si>
  <si>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</si>
  <si>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</si>
  <si>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</si>
  <si>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</si>
  <si>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</si>
  <si>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</si>
  <si>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</si>
  <si>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</si>
  <si>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</si>
  <si>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</si>
  <si>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</si>
  <si>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</si>
  <si>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</si>
  <si>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</si>
  <si>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</si>
  <si>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</si>
  <si>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</si>
  <si>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</si>
  <si>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</si>
  <si>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</si>
  <si>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</si>
  <si>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</si>
  <si>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</si>
  <si>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</si>
  <si>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</si>
  <si>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</si>
  <si>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</si>
  <si>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</si>
  <si>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</si>
  <si>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</si>
  <si>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</si>
  <si>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</si>
  <si>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</si>
  <si>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</si>
  <si>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</si>
  <si>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</si>
  <si>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</si>
  <si>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</si>
  <si>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</si>
  <si>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</si>
  <si>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</si>
  <si>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</si>
  <si>
    <t>Volume Difference</t>
  </si>
  <si>
    <t>Market Difference</t>
  </si>
  <si>
    <t>Circulating Supply Difference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</si>
</sst>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2">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1">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5" fillId="3" borderId="0" xfId="0" applyFont="1" applyFill="1" applyAlignment="1">
      <alignment horizontal="left"/>
    </xf>
    <xf numFmtId="4" fontId="5" fillId="3" borderId="0" xfId="0" applyNumberFormat="1"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3" fillId="3" borderId="0" xfId="0" applyFont="1" applyFill="1" applyAlignment="1">
      <alignment horizontal="center"/>
    </xf>
  </cellXfs>
  <cellStyles count="2">
    <cellStyle name="Comma" xfId="1" builtinId="3"/>
    <cellStyle name="Normal" xfId="0" builtinId="0"/>
  </cellStyles>
  <dxfs count="38">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sz val="14"/>
      </font>
    </dxf>
    <dxf>
      <font>
        <sz val="14"/>
      </font>
    </dxf>
    <dxf>
      <font>
        <sz val="14"/>
      </font>
    </dxf>
    <dxf>
      <font>
        <sz val="14"/>
      </font>
    </dxf>
    <dxf>
      <font>
        <sz val="14"/>
      </font>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sz val="12"/>
      </font>
    </dxf>
    <dxf>
      <font>
        <sz val="12"/>
      </font>
    </dxf>
    <dxf>
      <font>
        <sz val="12"/>
      </font>
    </dxf>
    <dxf>
      <font>
        <sz val="12"/>
      </font>
    </dxf>
    <dxf>
      <font>
        <sz val="12"/>
      </font>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37"/>
    </tableStyle>
    <tableStyle name="Slicer Style 2" pivot="0" table="0" count="1" xr9:uid="{3BBBB5B7-5BBB-470D-BFFD-A25CEC32D01E}"/>
    <tableStyle name="Slicer Style 3" pivot="0" table="0" count="1" xr9:uid="{9DAEDA26-6D6D-4761-AFE7-6214AA2488CF}">
      <tableStyleElement type="wholeTable" dxfId="36"/>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35"/>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22</xdr:col>
      <xdr:colOff>395110</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hidden="1">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478191-DF1C-4C9C-9D72-C5FB6EBFBFDE}" name="PivotTable3"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location ref="A1:B6" firstHeaderRow="1"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35"/>
    </i>
    <i>
      <x v="52"/>
    </i>
    <i>
      <x v="166"/>
    </i>
    <i>
      <x v="175"/>
    </i>
    <i>
      <x v="188"/>
    </i>
  </rowItems>
  <colItems count="1">
    <i/>
  </colItems>
  <dataFields count="1">
    <dataField name="Sum of volume (24h) USD" fld="7" baseField="0" baseItem="0" numFmtId="4"/>
  </dataFields>
  <formats count="15">
    <format dxfId="24">
      <pivotArea type="all" dataOnly="0" outline="0" fieldPosition="0"/>
    </format>
    <format dxfId="23">
      <pivotArea outline="0" collapsedLevelsAreSubtotals="1" fieldPosition="0"/>
    </format>
    <format dxfId="22">
      <pivotArea field="0" type="button" dataOnly="0" labelOnly="1" outline="0" axis="axisRow" fieldPosition="0"/>
    </format>
    <format dxfId="21">
      <pivotArea dataOnly="0" labelOnly="1" fieldPosition="0">
        <references count="1">
          <reference field="0" count="5">
            <x v="35"/>
            <x v="52"/>
            <x v="166"/>
            <x v="175"/>
            <x v="188"/>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5">
            <x v="35"/>
            <x v="52"/>
            <x v="166"/>
            <x v="175"/>
            <x v="188"/>
          </reference>
        </references>
      </pivotArea>
    </format>
    <format dxfId="15">
      <pivotArea dataOnly="0" labelOnly="1" outline="0" axis="axisValues" fieldPosition="0"/>
    </format>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5">
            <x v="35"/>
            <x v="52"/>
            <x v="166"/>
            <x v="175"/>
            <x v="188"/>
          </reference>
        </references>
      </pivotArea>
    </format>
    <format dxfId="10">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 tabId="20" name="PivotTable3"/>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34"/>
    <tableColumn id="2" xr3:uid="{D45C7BDC-011B-45F2-ABD0-C53D924E078F}" uniqueName="2" name="Symbol" queryTableFieldId="2" dataDxfId="33"/>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32" dataCellStyle="Comma"/>
    <tableColumn id="8" xr3:uid="{38E211A9-084D-4C27-9716-EFAB5725602D}" uniqueName="8" name="volume (24h) USD" queryTableFieldId="8" dataDxfId="31" dataCellStyle="Comma"/>
    <tableColumn id="9" xr3:uid="{BF233B90-C32C-43C7-ADBB-9F61E6A7B57B}" uniqueName="9" name="Circulating Supply" queryTableFieldId="9" dataDxfId="30" dataCellStyle="Comma"/>
    <tableColumn id="10" xr3:uid="{25890E78-C84D-45A6-9CB3-C567F1760453}" uniqueName="10" name="Average Downfall" queryTableFieldId="10" dataDxfId="29"/>
    <tableColumn id="11" xr3:uid="{B05B7E13-D764-47E3-8AB8-C39CA5753775}" uniqueName="11" name="7d Prev Price" queryTableFieldId="11" dataDxfId="28"/>
    <tableColumn id="12" xr3:uid="{3E55AF1B-F8FC-4AB4-ACC5-8D31D1A501ED}" uniqueName="12" name="24h Prev Price" queryTableFieldId="12" dataDxfId="27"/>
    <tableColumn id="13" xr3:uid="{06276FF2-053E-48C8-95C4-B685BA1A0015}" uniqueName="13" name="1h Prev Price" queryTableFieldId="13" dataDxfId="26"/>
    <tableColumn id="14" xr3:uid="{2AE1D970-43A1-4F63-A9ED-E50B64E11096}" uniqueName="14" name="Price Change(1h)" queryTableFieldId="14" dataDxfId="25"/>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v>0.1103</v>
      </c>
      <c r="D4" t="s">
        <v>0</v>
      </c>
      <c r="E4" t="str">
        <f>KPI!A4</f>
        <v>Acurast</v>
      </c>
    </row>
    <row r="5" spans="1:5" x14ac:dyDescent="0.3">
      <c r="A5" s="8" t="s">
        <v>793</v>
      </c>
      <c r="B5" s="3">
        <v>3.9033333333333302E-2</v>
      </c>
      <c r="C5">
        <v>0.1103</v>
      </c>
      <c r="D5" t="s">
        <v>1</v>
      </c>
      <c r="E5" t="str">
        <f>A5</f>
        <v>ACU</v>
      </c>
    </row>
    <row r="6" spans="1:5" x14ac:dyDescent="0.3">
      <c r="A6" s="7" t="s">
        <v>422</v>
      </c>
      <c r="B6" s="3">
        <v>-4.46666666666667E-3</v>
      </c>
      <c r="C6">
        <v>7.9030000000000003E-2</v>
      </c>
      <c r="D6" t="s">
        <v>1526</v>
      </c>
      <c r="E6" s="3">
        <f>C4</f>
        <v>0.1103</v>
      </c>
    </row>
    <row r="7" spans="1:5" x14ac:dyDescent="0.3">
      <c r="A7" s="8" t="s">
        <v>423</v>
      </c>
      <c r="B7" s="3">
        <v>-4.46666666666667E-3</v>
      </c>
      <c r="C7">
        <v>7.9030000000000003E-2</v>
      </c>
      <c r="D7" t="s">
        <v>1552</v>
      </c>
      <c r="E7">
        <f>B4</f>
        <v>3.9033333333333302E-2</v>
      </c>
    </row>
    <row r="8" spans="1:5" x14ac:dyDescent="0.3">
      <c r="A8" s="7" t="s">
        <v>575</v>
      </c>
      <c r="B8" s="3">
        <v>5.7999999999999996E-3</v>
      </c>
      <c r="C8">
        <v>0.30059999999999998</v>
      </c>
      <c r="D8" t="s">
        <v>1553</v>
      </c>
      <c r="E8">
        <f>D24</f>
        <v>62</v>
      </c>
    </row>
    <row r="9" spans="1:5" x14ac:dyDescent="0.3">
      <c r="A9" s="8" t="s">
        <v>576</v>
      </c>
      <c r="B9" s="3">
        <v>5.7999999999999996E-3</v>
      </c>
      <c r="C9">
        <v>0.30059999999999998</v>
      </c>
    </row>
    <row r="10" spans="1:5" x14ac:dyDescent="0.3">
      <c r="A10" s="7" t="s">
        <v>162</v>
      </c>
      <c r="B10" s="3">
        <v>8.2666666666666704E-3</v>
      </c>
      <c r="C10">
        <v>6.3346E-2</v>
      </c>
    </row>
    <row r="11" spans="1:5" x14ac:dyDescent="0.3">
      <c r="A11" s="8" t="s">
        <v>163</v>
      </c>
      <c r="B11" s="3">
        <v>8.2666666666666704E-3</v>
      </c>
      <c r="C11">
        <v>6.3346E-2</v>
      </c>
    </row>
    <row r="12" spans="1:5" x14ac:dyDescent="0.3">
      <c r="A12" s="7" t="s">
        <v>1014</v>
      </c>
      <c r="B12" s="3">
        <v>-1.6299999999999999E-2</v>
      </c>
      <c r="C12">
        <v>0.14149999999999999</v>
      </c>
    </row>
    <row r="13" spans="1:5" x14ac:dyDescent="0.3">
      <c r="A13" s="8" t="s">
        <v>1015</v>
      </c>
      <c r="B13" s="3">
        <v>-1.6299999999999999E-2</v>
      </c>
      <c r="C13">
        <v>0.14149999999999999</v>
      </c>
    </row>
    <row r="14" spans="1:5" x14ac:dyDescent="0.3">
      <c r="A14" s="7" t="s">
        <v>598</v>
      </c>
      <c r="B14" s="3">
        <v>1.6566666666666698E-2</v>
      </c>
      <c r="C14">
        <v>0.31819999999999998</v>
      </c>
    </row>
    <row r="15" spans="1:5" x14ac:dyDescent="0.3">
      <c r="A15" s="8" t="s">
        <v>599</v>
      </c>
      <c r="B15" s="3">
        <v>1.6566666666666698E-2</v>
      </c>
      <c r="C15">
        <v>0.31819999999999998</v>
      </c>
    </row>
    <row r="16" spans="1:5" x14ac:dyDescent="0.3">
      <c r="A16" s="7" t="s">
        <v>889</v>
      </c>
      <c r="B16" s="3">
        <v>8.9666666666666592E-3</v>
      </c>
      <c r="C16">
        <v>0.1774</v>
      </c>
    </row>
    <row r="17" spans="1:4" x14ac:dyDescent="0.3">
      <c r="A17" s="8" t="s">
        <v>890</v>
      </c>
      <c r="B17" s="3">
        <v>8.9666666666666592E-3</v>
      </c>
      <c r="C17">
        <v>0.1774</v>
      </c>
    </row>
    <row r="18" spans="1:4" x14ac:dyDescent="0.3">
      <c r="A18" s="7" t="s">
        <v>437</v>
      </c>
      <c r="B18" s="3">
        <v>-1.3100000000000001E-2</v>
      </c>
      <c r="C18">
        <v>5.6779999999999997E-2</v>
      </c>
    </row>
    <row r="19" spans="1:4" x14ac:dyDescent="0.3">
      <c r="A19" s="8" t="s">
        <v>438</v>
      </c>
      <c r="B19" s="3">
        <v>-1.3100000000000001E-2</v>
      </c>
      <c r="C19">
        <v>5.6779999999999997E-2</v>
      </c>
    </row>
    <row r="20" spans="1:4" x14ac:dyDescent="0.3">
      <c r="A20" s="7" t="s">
        <v>682</v>
      </c>
      <c r="B20" s="3">
        <v>-9.2666666666666592E-3</v>
      </c>
      <c r="C20">
        <v>0.29459999999999997</v>
      </c>
    </row>
    <row r="21" spans="1:4" x14ac:dyDescent="0.3">
      <c r="A21" s="8" t="s">
        <v>683</v>
      </c>
      <c r="B21" s="3">
        <v>-9.2666666666666592E-3</v>
      </c>
      <c r="C21">
        <v>0.29459999999999997</v>
      </c>
    </row>
    <row r="22" spans="1:4" x14ac:dyDescent="0.3">
      <c r="A22" s="7" t="s">
        <v>294</v>
      </c>
      <c r="B22" s="3">
        <v>1.0333333333333299E-3</v>
      </c>
      <c r="C22">
        <v>8.029E-2</v>
      </c>
    </row>
    <row r="23" spans="1:4" x14ac:dyDescent="0.3">
      <c r="A23" s="8" t="s">
        <v>295</v>
      </c>
      <c r="B23" s="3">
        <v>1.0333333333333299E-3</v>
      </c>
      <c r="C23">
        <v>8.029E-2</v>
      </c>
      <c r="D23" t="s">
        <v>1547</v>
      </c>
    </row>
    <row r="24" spans="1:4" x14ac:dyDescent="0.3">
      <c r="A24" s="7" t="s">
        <v>153</v>
      </c>
      <c r="B24" s="3">
        <v>-3.3666666666666701E-3</v>
      </c>
      <c r="C24">
        <v>6.3391000000000003E-2</v>
      </c>
      <c r="D24">
        <v>62</v>
      </c>
    </row>
    <row r="25" spans="1:4" x14ac:dyDescent="0.3">
      <c r="A25" s="8" t="s">
        <v>154</v>
      </c>
      <c r="B25" s="3">
        <v>-3.3666666666666701E-3</v>
      </c>
      <c r="C25">
        <v>6.3391000000000003E-2</v>
      </c>
    </row>
    <row r="26" spans="1:4" x14ac:dyDescent="0.3">
      <c r="A26" s="7" t="s">
        <v>1418</v>
      </c>
      <c r="B26" s="3">
        <v>-8.0999999999999996E-3</v>
      </c>
      <c r="C26">
        <v>7.7952999999999995E-2</v>
      </c>
    </row>
    <row r="27" spans="1:4" x14ac:dyDescent="0.3">
      <c r="A27" s="8" t="s">
        <v>1418</v>
      </c>
      <c r="B27" s="3">
        <v>-8.0999999999999996E-3</v>
      </c>
      <c r="C27">
        <v>7.7952999999999995E-2</v>
      </c>
    </row>
    <row r="28" spans="1:4" x14ac:dyDescent="0.3">
      <c r="A28" s="7" t="s">
        <v>332</v>
      </c>
      <c r="B28" s="3">
        <v>-7.0000000000000001E-3</v>
      </c>
      <c r="C28">
        <v>8.4860000000000005E-2</v>
      </c>
    </row>
    <row r="29" spans="1:4" x14ac:dyDescent="0.3">
      <c r="A29" s="8" t="s">
        <v>333</v>
      </c>
      <c r="B29" s="3">
        <v>-7.0000000000000001E-3</v>
      </c>
      <c r="C29">
        <v>8.4860000000000005E-2</v>
      </c>
    </row>
    <row r="30" spans="1:4" x14ac:dyDescent="0.3">
      <c r="A30" s="7" t="s">
        <v>127</v>
      </c>
      <c r="B30" s="3">
        <v>2.2333333333333298E-3</v>
      </c>
      <c r="C30">
        <v>0.17469999999999999</v>
      </c>
    </row>
    <row r="31" spans="1:4" x14ac:dyDescent="0.3">
      <c r="A31" s="8" t="s">
        <v>128</v>
      </c>
      <c r="B31" s="3">
        <v>2.2333333333333298E-3</v>
      </c>
      <c r="C31">
        <v>0.17469999999999999</v>
      </c>
    </row>
    <row r="32" spans="1:4" x14ac:dyDescent="0.3">
      <c r="A32" s="7" t="s">
        <v>92</v>
      </c>
      <c r="B32" s="3">
        <v>-7.4666666666666701E-3</v>
      </c>
      <c r="C32">
        <v>0.29409999999999997</v>
      </c>
    </row>
    <row r="33" spans="1:3" x14ac:dyDescent="0.3">
      <c r="A33" s="8" t="s">
        <v>93</v>
      </c>
      <c r="B33" s="3">
        <v>-7.4666666666666701E-3</v>
      </c>
      <c r="C33">
        <v>0.29409999999999997</v>
      </c>
    </row>
    <row r="34" spans="1:3" x14ac:dyDescent="0.3">
      <c r="A34" s="7" t="s">
        <v>213</v>
      </c>
      <c r="B34" s="3">
        <v>-1.17666666666667E-2</v>
      </c>
      <c r="C34">
        <v>0.34320000000000001</v>
      </c>
    </row>
    <row r="35" spans="1:3" x14ac:dyDescent="0.3">
      <c r="A35" s="8" t="s">
        <v>214</v>
      </c>
      <c r="B35" s="3">
        <v>-1.17666666666667E-2</v>
      </c>
      <c r="C35">
        <v>0.34320000000000001</v>
      </c>
    </row>
    <row r="36" spans="1:3" x14ac:dyDescent="0.3">
      <c r="A36" s="7" t="s">
        <v>937</v>
      </c>
      <c r="B36" s="3">
        <v>5.46666666666667E-3</v>
      </c>
      <c r="C36">
        <v>5.3089999999999998E-2</v>
      </c>
    </row>
    <row r="37" spans="1:3" x14ac:dyDescent="0.3">
      <c r="A37" s="8" t="s">
        <v>938</v>
      </c>
      <c r="B37" s="3">
        <v>5.46666666666667E-3</v>
      </c>
      <c r="C37">
        <v>5.3089999999999998E-2</v>
      </c>
    </row>
    <row r="38" spans="1:3" x14ac:dyDescent="0.3">
      <c r="A38" s="7" t="s">
        <v>800</v>
      </c>
      <c r="B38" s="3">
        <v>-5.2333333333333303E-3</v>
      </c>
      <c r="C38">
        <v>0.41959999999999997</v>
      </c>
    </row>
    <row r="39" spans="1:3" x14ac:dyDescent="0.3">
      <c r="A39" s="8" t="s">
        <v>801</v>
      </c>
      <c r="B39" s="3">
        <v>-5.2333333333333303E-3</v>
      </c>
      <c r="C39">
        <v>0.41959999999999997</v>
      </c>
    </row>
    <row r="40" spans="1:3" x14ac:dyDescent="0.3">
      <c r="A40" s="7" t="s">
        <v>706</v>
      </c>
      <c r="B40" s="3">
        <v>3.0533333333333301E-2</v>
      </c>
      <c r="C40">
        <v>9.4979999999999995E-2</v>
      </c>
    </row>
    <row r="41" spans="1:3" x14ac:dyDescent="0.3">
      <c r="A41" s="8" t="s">
        <v>706</v>
      </c>
      <c r="B41" s="3">
        <v>3.0533333333333301E-2</v>
      </c>
      <c r="C41">
        <v>9.4979999999999995E-2</v>
      </c>
    </row>
    <row r="42" spans="1:3" x14ac:dyDescent="0.3">
      <c r="A42" s="7" t="s">
        <v>1505</v>
      </c>
      <c r="B42" s="3">
        <v>1.56666666666667E-3</v>
      </c>
      <c r="C42">
        <v>5.0369999999999998E-2</v>
      </c>
    </row>
    <row r="43" spans="1:3" x14ac:dyDescent="0.3">
      <c r="A43" s="8" t="s">
        <v>1506</v>
      </c>
      <c r="B43" s="3">
        <v>1.56666666666667E-3</v>
      </c>
      <c r="C43">
        <v>5.0369999999999998E-2</v>
      </c>
    </row>
    <row r="44" spans="1:3" x14ac:dyDescent="0.3">
      <c r="A44" s="7" t="s">
        <v>1299</v>
      </c>
      <c r="B44" s="3">
        <v>2.8199999999999999E-2</v>
      </c>
      <c r="C44">
        <v>0.32069999999999999</v>
      </c>
    </row>
    <row r="45" spans="1:3" x14ac:dyDescent="0.3">
      <c r="A45" s="8" t="s">
        <v>1300</v>
      </c>
      <c r="B45" s="3">
        <v>2.8199999999999999E-2</v>
      </c>
      <c r="C45">
        <v>0.32069999999999999</v>
      </c>
    </row>
    <row r="46" spans="1:3" x14ac:dyDescent="0.3">
      <c r="A46" s="7" t="s">
        <v>84</v>
      </c>
      <c r="B46" s="3">
        <v>-1.6166666666666701E-2</v>
      </c>
      <c r="C46">
        <v>9.9959999999999993E-2</v>
      </c>
    </row>
    <row r="47" spans="1:3" x14ac:dyDescent="0.3">
      <c r="A47" s="8" t="s">
        <v>85</v>
      </c>
      <c r="B47" s="3">
        <v>-1.6166666666666701E-2</v>
      </c>
      <c r="C47">
        <v>9.9959999999999993E-2</v>
      </c>
    </row>
    <row r="48" spans="1:3" x14ac:dyDescent="0.3">
      <c r="A48" s="7" t="s">
        <v>1519</v>
      </c>
      <c r="B48" s="3">
        <v>-5.7666666666666699E-3</v>
      </c>
      <c r="C48">
        <v>9.9080000000000001E-2</v>
      </c>
    </row>
    <row r="49" spans="1:3" x14ac:dyDescent="0.3">
      <c r="A49" s="8" t="s">
        <v>1520</v>
      </c>
      <c r="B49" s="3">
        <v>-5.7666666666666699E-3</v>
      </c>
      <c r="C49">
        <v>9.9080000000000001E-2</v>
      </c>
    </row>
    <row r="50" spans="1:3" x14ac:dyDescent="0.3">
      <c r="A50" s="7" t="s">
        <v>521</v>
      </c>
      <c r="B50" s="3">
        <v>1.78E-2</v>
      </c>
      <c r="C50">
        <v>0.46310000000000001</v>
      </c>
    </row>
    <row r="51" spans="1:3" x14ac:dyDescent="0.3">
      <c r="A51" s="8" t="s">
        <v>522</v>
      </c>
      <c r="B51" s="3">
        <v>1.78E-2</v>
      </c>
      <c r="C51">
        <v>0.46310000000000001</v>
      </c>
    </row>
    <row r="52" spans="1:3" x14ac:dyDescent="0.3">
      <c r="A52" s="7" t="s">
        <v>1084</v>
      </c>
      <c r="B52" s="3">
        <v>-1.84E-2</v>
      </c>
      <c r="C52">
        <v>0.12570000000000001</v>
      </c>
    </row>
    <row r="53" spans="1:3" x14ac:dyDescent="0.3">
      <c r="A53" s="8" t="s">
        <v>1085</v>
      </c>
      <c r="B53" s="3">
        <v>-1.84E-2</v>
      </c>
      <c r="C53">
        <v>0.12570000000000001</v>
      </c>
    </row>
    <row r="54" spans="1:3" x14ac:dyDescent="0.3">
      <c r="A54" s="7" t="s">
        <v>480</v>
      </c>
      <c r="B54" s="3">
        <v>3.3666666666666701E-3</v>
      </c>
      <c r="C54">
        <v>0.182</v>
      </c>
    </row>
    <row r="55" spans="1:3" x14ac:dyDescent="0.3">
      <c r="A55" s="8" t="s">
        <v>481</v>
      </c>
      <c r="B55" s="3">
        <v>3.3666666666666701E-3</v>
      </c>
      <c r="C55">
        <v>0.182</v>
      </c>
    </row>
    <row r="56" spans="1:3" x14ac:dyDescent="0.3">
      <c r="A56" s="7" t="s">
        <v>135</v>
      </c>
      <c r="B56" s="3">
        <v>5.7466666666666701E-2</v>
      </c>
      <c r="C56">
        <v>0.1356</v>
      </c>
    </row>
    <row r="57" spans="1:3" x14ac:dyDescent="0.3">
      <c r="A57" s="8" t="s">
        <v>136</v>
      </c>
      <c r="B57" s="3">
        <v>5.7466666666666701E-2</v>
      </c>
      <c r="C57">
        <v>0.1356</v>
      </c>
    </row>
    <row r="58" spans="1:3" x14ac:dyDescent="0.3">
      <c r="A58" s="7" t="s">
        <v>1490</v>
      </c>
      <c r="B58" s="3">
        <v>2.4533333333333299E-2</v>
      </c>
      <c r="C58">
        <v>0.21959999999999999</v>
      </c>
    </row>
    <row r="59" spans="1:3" x14ac:dyDescent="0.3">
      <c r="A59" s="8" t="s">
        <v>1491</v>
      </c>
      <c r="B59" s="3">
        <v>2.4533333333333299E-2</v>
      </c>
      <c r="C59">
        <v>0.21959999999999999</v>
      </c>
    </row>
    <row r="60" spans="1:3" x14ac:dyDescent="0.3">
      <c r="A60" s="7" t="s">
        <v>144</v>
      </c>
      <c r="B60" s="3">
        <v>1.3599999999999999E-2</v>
      </c>
      <c r="C60">
        <v>0.17080000000000001</v>
      </c>
    </row>
    <row r="61" spans="1:3" x14ac:dyDescent="0.3">
      <c r="A61" s="8" t="s">
        <v>145</v>
      </c>
      <c r="B61" s="3">
        <v>1.3599999999999999E-2</v>
      </c>
      <c r="C61">
        <v>0.17080000000000001</v>
      </c>
    </row>
    <row r="62" spans="1:3" x14ac:dyDescent="0.3">
      <c r="A62" s="7" t="s">
        <v>605</v>
      </c>
      <c r="B62" s="3">
        <v>1.9E-2</v>
      </c>
      <c r="C62">
        <v>0.1163</v>
      </c>
    </row>
    <row r="63" spans="1:3" x14ac:dyDescent="0.3">
      <c r="A63" s="8" t="s">
        <v>606</v>
      </c>
      <c r="B63" s="3">
        <v>1.9E-2</v>
      </c>
      <c r="C63">
        <v>0.1163</v>
      </c>
    </row>
    <row r="64" spans="1:3" x14ac:dyDescent="0.3">
      <c r="A64" s="7" t="s">
        <v>221</v>
      </c>
      <c r="B64" s="3">
        <v>4.3333333333333201E-4</v>
      </c>
      <c r="C64">
        <v>7.0470000000000005E-2</v>
      </c>
    </row>
    <row r="65" spans="1:3" x14ac:dyDescent="0.3">
      <c r="A65" s="8" t="s">
        <v>221</v>
      </c>
      <c r="B65" s="3">
        <v>4.3333333333333201E-4</v>
      </c>
      <c r="C65">
        <v>7.0470000000000005E-2</v>
      </c>
    </row>
    <row r="66" spans="1:3" x14ac:dyDescent="0.3">
      <c r="A66" s="7" t="s">
        <v>638</v>
      </c>
      <c r="B66" s="3">
        <v>2.67333333333333E-2</v>
      </c>
      <c r="C66">
        <v>0.3271</v>
      </c>
    </row>
    <row r="67" spans="1:3" x14ac:dyDescent="0.3">
      <c r="A67" s="8" t="s">
        <v>639</v>
      </c>
      <c r="B67" s="3">
        <v>2.67333333333333E-2</v>
      </c>
      <c r="C67">
        <v>0.3271</v>
      </c>
    </row>
    <row r="68" spans="1:3" x14ac:dyDescent="0.3">
      <c r="A68" s="7" t="s">
        <v>1269</v>
      </c>
      <c r="B68" s="3">
        <v>2.4133333333333298E-2</v>
      </c>
      <c r="C68">
        <v>0.4047</v>
      </c>
    </row>
    <row r="69" spans="1:3" x14ac:dyDescent="0.3">
      <c r="A69" s="8" t="s">
        <v>1270</v>
      </c>
      <c r="B69" s="3">
        <v>2.4133333333333298E-2</v>
      </c>
      <c r="C69">
        <v>0.4047</v>
      </c>
    </row>
    <row r="70" spans="1:3" x14ac:dyDescent="0.3">
      <c r="A70" s="7" t="s">
        <v>746</v>
      </c>
      <c r="B70" s="3">
        <v>-2.5000000000000001E-3</v>
      </c>
      <c r="C70">
        <v>8.5010000000000002E-2</v>
      </c>
    </row>
    <row r="71" spans="1:3" x14ac:dyDescent="0.3">
      <c r="A71" s="8" t="s">
        <v>747</v>
      </c>
      <c r="B71" s="3">
        <v>-2.5000000000000001E-3</v>
      </c>
      <c r="C71">
        <v>8.5010000000000002E-2</v>
      </c>
    </row>
    <row r="72" spans="1:3" x14ac:dyDescent="0.3">
      <c r="A72" s="7" t="s">
        <v>1169</v>
      </c>
      <c r="B72" s="3">
        <v>1.1733333333333301E-2</v>
      </c>
      <c r="C72">
        <v>6.0819999999999999E-2</v>
      </c>
    </row>
    <row r="73" spans="1:3" x14ac:dyDescent="0.3">
      <c r="A73" s="8" t="s">
        <v>1170</v>
      </c>
      <c r="B73" s="3">
        <v>1.1733333333333301E-2</v>
      </c>
      <c r="C73">
        <v>6.0819999999999999E-2</v>
      </c>
    </row>
    <row r="74" spans="1:3" x14ac:dyDescent="0.3">
      <c r="A74" s="7" t="s">
        <v>582</v>
      </c>
      <c r="B74" s="3">
        <v>-2.8999999999999998E-3</v>
      </c>
      <c r="C74">
        <v>0.43969999999999998</v>
      </c>
    </row>
    <row r="75" spans="1:3" x14ac:dyDescent="0.3">
      <c r="A75" s="8" t="s">
        <v>583</v>
      </c>
      <c r="B75" s="3">
        <v>-2.8999999999999998E-3</v>
      </c>
      <c r="C75">
        <v>0.43969999999999998</v>
      </c>
    </row>
    <row r="76" spans="1:3" x14ac:dyDescent="0.3">
      <c r="A76" s="7" t="s">
        <v>1312</v>
      </c>
      <c r="B76" s="3">
        <v>-7.0666666666666603E-3</v>
      </c>
      <c r="C76">
        <v>8.9084999999999998E-2</v>
      </c>
    </row>
    <row r="77" spans="1:3" x14ac:dyDescent="0.3">
      <c r="A77" s="8" t="s">
        <v>1313</v>
      </c>
      <c r="B77" s="3">
        <v>-7.0666666666666603E-3</v>
      </c>
      <c r="C77">
        <v>8.9084999999999998E-2</v>
      </c>
    </row>
    <row r="78" spans="1:3" x14ac:dyDescent="0.3">
      <c r="A78" s="7" t="s">
        <v>397</v>
      </c>
      <c r="B78" s="3">
        <v>-1.69333333333333E-2</v>
      </c>
      <c r="C78">
        <v>6.1698999999999997E-2</v>
      </c>
    </row>
    <row r="79" spans="1:3" x14ac:dyDescent="0.3">
      <c r="A79" s="8" t="s">
        <v>398</v>
      </c>
      <c r="B79" s="3">
        <v>-1.69333333333333E-2</v>
      </c>
      <c r="C79">
        <v>6.1698999999999997E-2</v>
      </c>
    </row>
    <row r="80" spans="1:3" x14ac:dyDescent="0.3">
      <c r="A80" s="7" t="s">
        <v>836</v>
      </c>
      <c r="B80" s="3">
        <v>1.92333333333333E-2</v>
      </c>
      <c r="C80">
        <v>7.7380000000000004E-2</v>
      </c>
    </row>
    <row r="81" spans="1:3" x14ac:dyDescent="0.3">
      <c r="A81" s="8" t="s">
        <v>837</v>
      </c>
      <c r="B81" s="3">
        <v>1.92333333333333E-2</v>
      </c>
      <c r="C81">
        <v>7.7380000000000004E-2</v>
      </c>
    </row>
    <row r="82" spans="1:3" x14ac:dyDescent="0.3">
      <c r="A82" s="7" t="s">
        <v>674</v>
      </c>
      <c r="B82" s="3">
        <v>1.27666666666667E-2</v>
      </c>
      <c r="C82">
        <v>0.1497</v>
      </c>
    </row>
    <row r="83" spans="1:3" x14ac:dyDescent="0.3">
      <c r="A83" s="8" t="s">
        <v>675</v>
      </c>
      <c r="B83" s="3">
        <v>1.27666666666667E-2</v>
      </c>
      <c r="C83">
        <v>0.1497</v>
      </c>
    </row>
    <row r="84" spans="1:3" x14ac:dyDescent="0.3">
      <c r="A84" s="7" t="s">
        <v>489</v>
      </c>
      <c r="B84" s="3">
        <v>-1.6E-2</v>
      </c>
      <c r="C84">
        <v>0.1002</v>
      </c>
    </row>
    <row r="85" spans="1:3" x14ac:dyDescent="0.3">
      <c r="A85" s="8" t="s">
        <v>490</v>
      </c>
      <c r="B85" s="3">
        <v>-1.6E-2</v>
      </c>
      <c r="C85">
        <v>0.1002</v>
      </c>
    </row>
    <row r="86" spans="1:3" x14ac:dyDescent="0.3">
      <c r="A86" s="7" t="s">
        <v>471</v>
      </c>
      <c r="B86" s="3">
        <v>1.6999999999999999E-3</v>
      </c>
      <c r="C86">
        <v>5.969E-2</v>
      </c>
    </row>
    <row r="87" spans="1:3" x14ac:dyDescent="0.3">
      <c r="A87" s="8" t="s">
        <v>472</v>
      </c>
      <c r="B87" s="3">
        <v>1.6999999999999999E-3</v>
      </c>
      <c r="C87">
        <v>5.969E-2</v>
      </c>
    </row>
    <row r="88" spans="1:3" x14ac:dyDescent="0.3">
      <c r="A88" s="7" t="s">
        <v>204</v>
      </c>
      <c r="B88" s="3">
        <v>-1.4E-3</v>
      </c>
      <c r="C88">
        <v>5.3030000000000001E-2</v>
      </c>
    </row>
    <row r="89" spans="1:3" x14ac:dyDescent="0.3">
      <c r="A89" s="8" t="s">
        <v>205</v>
      </c>
      <c r="B89" s="3">
        <v>-1.4E-3</v>
      </c>
      <c r="C89">
        <v>5.3030000000000001E-2</v>
      </c>
    </row>
    <row r="90" spans="1:3" x14ac:dyDescent="0.3">
      <c r="A90" s="7" t="s">
        <v>454</v>
      </c>
      <c r="B90" s="3">
        <v>-2.7333333333333298E-3</v>
      </c>
      <c r="C90">
        <v>6.4699000000000007E-2</v>
      </c>
    </row>
    <row r="91" spans="1:3" x14ac:dyDescent="0.3">
      <c r="A91" s="8" t="s">
        <v>455</v>
      </c>
      <c r="B91" s="3">
        <v>-2.7333333333333298E-3</v>
      </c>
      <c r="C91">
        <v>6.4699000000000007E-2</v>
      </c>
    </row>
    <row r="92" spans="1:3" x14ac:dyDescent="0.3">
      <c r="A92" s="7" t="s">
        <v>988</v>
      </c>
      <c r="B92" s="3">
        <v>-2.36666666666667E-2</v>
      </c>
      <c r="C92">
        <v>0.107</v>
      </c>
    </row>
    <row r="93" spans="1:3" x14ac:dyDescent="0.3">
      <c r="A93" s="8" t="s">
        <v>989</v>
      </c>
      <c r="B93" s="3">
        <v>-2.36666666666667E-2</v>
      </c>
      <c r="C93">
        <v>0.107</v>
      </c>
    </row>
    <row r="94" spans="1:3" x14ac:dyDescent="0.3">
      <c r="A94" s="7" t="s">
        <v>784</v>
      </c>
      <c r="B94" s="3">
        <v>3.00666666666667E-2</v>
      </c>
      <c r="C94">
        <v>9.5850000000000005E-2</v>
      </c>
    </row>
    <row r="95" spans="1:3" x14ac:dyDescent="0.3">
      <c r="A95" s="8" t="s">
        <v>785</v>
      </c>
      <c r="B95" s="3">
        <v>3.00666666666667E-2</v>
      </c>
      <c r="C95">
        <v>9.5850000000000005E-2</v>
      </c>
    </row>
    <row r="96" spans="1:3" x14ac:dyDescent="0.3">
      <c r="A96" s="7" t="s">
        <v>621</v>
      </c>
      <c r="B96" s="3">
        <v>-2.1600000000000001E-2</v>
      </c>
      <c r="C96">
        <v>0.2109</v>
      </c>
    </row>
    <row r="97" spans="1:3" x14ac:dyDescent="0.3">
      <c r="A97" s="8" t="s">
        <v>622</v>
      </c>
      <c r="B97" s="3">
        <v>-2.1600000000000001E-2</v>
      </c>
      <c r="C97">
        <v>0.2109</v>
      </c>
    </row>
    <row r="98" spans="1:3" x14ac:dyDescent="0.3">
      <c r="A98" s="7" t="s">
        <v>1201</v>
      </c>
      <c r="B98" s="3">
        <v>4.3799999999999999E-2</v>
      </c>
      <c r="C98">
        <v>5.8549999999999998E-2</v>
      </c>
    </row>
    <row r="99" spans="1:3" x14ac:dyDescent="0.3">
      <c r="A99" s="8" t="s">
        <v>1202</v>
      </c>
      <c r="B99" s="3">
        <v>4.3799999999999999E-2</v>
      </c>
      <c r="C99">
        <v>5.8549999999999998E-2</v>
      </c>
    </row>
    <row r="100" spans="1:3" x14ac:dyDescent="0.3">
      <c r="A100" s="7" t="s">
        <v>341</v>
      </c>
      <c r="B100" s="3">
        <v>0.362433333333333</v>
      </c>
      <c r="C100">
        <v>0.46300000000000002</v>
      </c>
    </row>
    <row r="101" spans="1:3" x14ac:dyDescent="0.3">
      <c r="A101" s="8" t="s">
        <v>342</v>
      </c>
      <c r="B101" s="3">
        <v>0.362433333333333</v>
      </c>
      <c r="C101">
        <v>0.46300000000000002</v>
      </c>
    </row>
    <row r="102" spans="1:3" x14ac:dyDescent="0.3">
      <c r="A102" s="7" t="s">
        <v>1375</v>
      </c>
      <c r="B102" s="3">
        <v>9.0333333333333307E-3</v>
      </c>
      <c r="C102">
        <v>0.1007</v>
      </c>
    </row>
    <row r="103" spans="1:3" x14ac:dyDescent="0.3">
      <c r="A103" s="8" t="s">
        <v>1376</v>
      </c>
      <c r="B103" s="3">
        <v>9.0333333333333307E-3</v>
      </c>
      <c r="C103">
        <v>0.1007</v>
      </c>
    </row>
    <row r="104" spans="1:3" x14ac:dyDescent="0.3">
      <c r="A104" s="7" t="s">
        <v>852</v>
      </c>
      <c r="B104" s="3">
        <v>8.1333333333333396E-3</v>
      </c>
      <c r="C104">
        <v>0.17710000000000001</v>
      </c>
    </row>
    <row r="105" spans="1:3" x14ac:dyDescent="0.3">
      <c r="A105" s="8" t="s">
        <v>853</v>
      </c>
      <c r="B105" s="3">
        <v>8.1333333333333396E-3</v>
      </c>
      <c r="C105">
        <v>0.17710000000000001</v>
      </c>
    </row>
    <row r="106" spans="1:3" x14ac:dyDescent="0.3">
      <c r="A106" s="7" t="s">
        <v>196</v>
      </c>
      <c r="B106" s="3">
        <v>-2.2200000000000001E-2</v>
      </c>
      <c r="C106">
        <v>0.32829999999999998</v>
      </c>
    </row>
    <row r="107" spans="1:3" x14ac:dyDescent="0.3">
      <c r="A107" s="8" t="s">
        <v>197</v>
      </c>
      <c r="B107" s="3">
        <v>-2.2200000000000001E-2</v>
      </c>
      <c r="C107">
        <v>0.32829999999999998</v>
      </c>
    </row>
    <row r="108" spans="1:3" x14ac:dyDescent="0.3">
      <c r="A108" s="7" t="s">
        <v>1045</v>
      </c>
      <c r="B108" s="3">
        <v>3.7333333333333298E-3</v>
      </c>
      <c r="C108">
        <v>7.3580000000000007E-2</v>
      </c>
    </row>
    <row r="109" spans="1:3" x14ac:dyDescent="0.3">
      <c r="A109" s="8" t="s">
        <v>1046</v>
      </c>
      <c r="B109" s="3">
        <v>3.7333333333333298E-3</v>
      </c>
      <c r="C109">
        <v>7.3580000000000007E-2</v>
      </c>
    </row>
    <row r="110" spans="1:3" x14ac:dyDescent="0.3">
      <c r="A110" s="7" t="s">
        <v>1353</v>
      </c>
      <c r="B110" s="3">
        <v>2.44333333333333E-2</v>
      </c>
      <c r="C110">
        <v>0.1024</v>
      </c>
    </row>
    <row r="111" spans="1:3" x14ac:dyDescent="0.3">
      <c r="A111" s="8" t="s">
        <v>1354</v>
      </c>
      <c r="B111" s="3">
        <v>2.44333333333333E-2</v>
      </c>
      <c r="C111">
        <v>0.1024</v>
      </c>
    </row>
    <row r="112" spans="1:3" x14ac:dyDescent="0.3">
      <c r="A112" s="7" t="s">
        <v>1430</v>
      </c>
      <c r="B112" s="3">
        <v>7.6666666666666702E-4</v>
      </c>
      <c r="C112">
        <v>9.9390000000000006E-2</v>
      </c>
    </row>
    <row r="113" spans="1:3" x14ac:dyDescent="0.3">
      <c r="A113" s="8" t="s">
        <v>1431</v>
      </c>
      <c r="B113" s="3">
        <v>7.6666666666666702E-4</v>
      </c>
      <c r="C113">
        <v>9.9390000000000006E-2</v>
      </c>
    </row>
    <row r="114" spans="1:3" x14ac:dyDescent="0.3">
      <c r="A114" s="7" t="s">
        <v>813</v>
      </c>
      <c r="B114" s="3">
        <v>4.46666666666667E-3</v>
      </c>
      <c r="C114">
        <v>0.12379999999999999</v>
      </c>
    </row>
    <row r="115" spans="1:3" x14ac:dyDescent="0.3">
      <c r="A115" s="8" t="s">
        <v>814</v>
      </c>
      <c r="B115" s="3">
        <v>4.46666666666667E-3</v>
      </c>
      <c r="C115">
        <v>0.12379999999999999</v>
      </c>
    </row>
    <row r="116" spans="1:3" x14ac:dyDescent="0.3">
      <c r="A116" s="7" t="s">
        <v>75</v>
      </c>
      <c r="B116" s="3">
        <v>8.9333333333333296E-3</v>
      </c>
      <c r="C116">
        <v>0.28639999999999999</v>
      </c>
    </row>
    <row r="117" spans="1:3" x14ac:dyDescent="0.3">
      <c r="A117" s="8" t="s">
        <v>76</v>
      </c>
      <c r="B117" s="3">
        <v>8.9333333333333296E-3</v>
      </c>
      <c r="C117">
        <v>0.28639999999999999</v>
      </c>
    </row>
    <row r="118" spans="1:3" x14ac:dyDescent="0.3">
      <c r="A118" s="7" t="s">
        <v>1404</v>
      </c>
      <c r="B118" s="3">
        <v>-5.4266666666666699E-2</v>
      </c>
      <c r="C118">
        <v>0.30769999999999997</v>
      </c>
    </row>
    <row r="119" spans="1:3" x14ac:dyDescent="0.3">
      <c r="A119" s="8" t="s">
        <v>1405</v>
      </c>
      <c r="B119" s="3">
        <v>-5.4266666666666699E-2</v>
      </c>
      <c r="C119">
        <v>0.30769999999999997</v>
      </c>
    </row>
    <row r="120" spans="1:3" x14ac:dyDescent="0.3">
      <c r="A120" s="7" t="s">
        <v>390</v>
      </c>
      <c r="B120" s="3">
        <v>-1.02666666666667E-2</v>
      </c>
      <c r="C120">
        <v>5.1527000000000003E-2</v>
      </c>
    </row>
    <row r="121" spans="1:3" x14ac:dyDescent="0.3">
      <c r="A121" s="8" t="s">
        <v>391</v>
      </c>
      <c r="B121" s="3">
        <v>-1.02666666666667E-2</v>
      </c>
      <c r="C121">
        <v>5.1527000000000003E-2</v>
      </c>
    </row>
    <row r="122" spans="1:3" x14ac:dyDescent="0.3">
      <c r="A122" s="7" t="s">
        <v>965</v>
      </c>
      <c r="B122" s="3">
        <v>8.6E-3</v>
      </c>
      <c r="C122">
        <v>0.1585</v>
      </c>
    </row>
    <row r="123" spans="1:3" x14ac:dyDescent="0.3">
      <c r="A123" s="8" t="s">
        <v>966</v>
      </c>
      <c r="B123" s="3">
        <v>8.6E-3</v>
      </c>
      <c r="C123">
        <v>0.1585</v>
      </c>
    </row>
    <row r="124" spans="1:3" x14ac:dyDescent="0.3">
      <c r="A124" s="7" t="s">
        <v>382</v>
      </c>
      <c r="B124" s="3">
        <v>-3.4333333333333299E-3</v>
      </c>
      <c r="C124">
        <v>5.3120000000000001E-2</v>
      </c>
    </row>
    <row r="125" spans="1:3" x14ac:dyDescent="0.3">
      <c r="A125" s="8" t="s">
        <v>383</v>
      </c>
      <c r="B125" s="3">
        <v>-3.4333333333333299E-3</v>
      </c>
      <c r="C125">
        <v>5.3120000000000001E-2</v>
      </c>
    </row>
    <row r="126" spans="1:3" x14ac:dyDescent="0.3">
      <c r="A126" s="7" t="s">
        <v>913</v>
      </c>
      <c r="B126" s="3">
        <v>2.7699999999999999E-2</v>
      </c>
      <c r="C126">
        <v>8.6230000000000001E-2</v>
      </c>
    </row>
    <row r="127" spans="1:3" x14ac:dyDescent="0.3">
      <c r="A127" s="8" t="s">
        <v>914</v>
      </c>
      <c r="B127" s="3">
        <v>2.7699999999999999E-2</v>
      </c>
      <c r="C127">
        <v>8.6230000000000001E-2</v>
      </c>
    </row>
    <row r="128" spans="1:3" x14ac:dyDescent="0.3">
      <c r="A128" s="7" t="s">
        <v>1546</v>
      </c>
      <c r="B128" s="3">
        <v>9.6919354838709611E-3</v>
      </c>
      <c r="C128">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v>68106.12</v>
      </c>
      <c r="I39" s="2">
        <v>68085.694291712483</v>
      </c>
    </row>
    <row r="40" spans="1:9" x14ac:dyDescent="0.3">
      <c r="F40" s="7" t="s">
        <v>27</v>
      </c>
      <c r="G40" s="5">
        <v>12.22413518886674</v>
      </c>
      <c r="H40">
        <v>2049.58</v>
      </c>
      <c r="I40" s="2">
        <v>2037.3558648111332</v>
      </c>
    </row>
    <row r="41" spans="1:9" x14ac:dyDescent="0.3">
      <c r="B41" t="s">
        <v>1570</v>
      </c>
      <c r="F41" s="7" t="s">
        <v>614</v>
      </c>
      <c r="G41" s="5">
        <v>0.9013574209002968</v>
      </c>
      <c r="H41">
        <v>475.3</v>
      </c>
      <c r="I41" s="2">
        <v>474.39864257909971</v>
      </c>
    </row>
    <row r="42" spans="1:9" x14ac:dyDescent="0.3">
      <c r="F42" s="7" t="s">
        <v>118</v>
      </c>
      <c r="G42" s="5">
        <v>0.21833498710061505</v>
      </c>
      <c r="H42">
        <v>28.21</v>
      </c>
      <c r="I42" s="2">
        <v>27.991665012899386</v>
      </c>
    </row>
    <row r="43" spans="1:9" x14ac:dyDescent="0.3">
      <c r="B43" s="9"/>
      <c r="C43" s="9"/>
      <c r="F43" s="7" t="s">
        <v>729</v>
      </c>
      <c r="G43" s="5">
        <v>0.67795425032466028</v>
      </c>
      <c r="H43">
        <v>617</v>
      </c>
      <c r="I43" s="2">
        <v>616.32204574967534</v>
      </c>
    </row>
    <row r="44" spans="1:9" x14ac:dyDescent="0.3">
      <c r="B44" s="11"/>
      <c r="C44" s="11"/>
      <c r="F44" s="7" t="s">
        <v>945</v>
      </c>
      <c r="G44" s="5">
        <v>0.22837074728124662</v>
      </c>
      <c r="H44">
        <v>99.52</v>
      </c>
      <c r="I44" s="2">
        <v>99.291629252718749</v>
      </c>
    </row>
    <row r="45" spans="1:9" x14ac:dyDescent="0.3">
      <c r="B45" s="9"/>
      <c r="C45" s="9"/>
      <c r="F45" s="7" t="s">
        <v>1006</v>
      </c>
      <c r="G45" s="5">
        <v>0.61364453320021539</v>
      </c>
      <c r="H45">
        <v>409.71</v>
      </c>
      <c r="I45" s="2">
        <v>409.09635546679976</v>
      </c>
    </row>
    <row r="46" spans="1:9" x14ac:dyDescent="0.3">
      <c r="F46" s="7" t="s">
        <v>754</v>
      </c>
      <c r="G46" s="5">
        <v>0.35529247354762106</v>
      </c>
      <c r="H46">
        <v>197.74</v>
      </c>
      <c r="I46" s="2">
        <v>197.38470752645239</v>
      </c>
    </row>
    <row r="47" spans="1:9" x14ac:dyDescent="0.3">
      <c r="F47" s="7" t="s">
        <v>1029</v>
      </c>
      <c r="G47" s="5">
        <v>0.45574567975234004</v>
      </c>
      <c r="H47">
        <v>414.77</v>
      </c>
      <c r="I47" s="2">
        <v>414.31425432024764</v>
      </c>
    </row>
    <row r="48" spans="1:9" ht="15.6" x14ac:dyDescent="0.3">
      <c r="A48" s="50"/>
      <c r="B48" s="50"/>
      <c r="F48" s="7" t="s">
        <v>652</v>
      </c>
      <c r="G48" s="5">
        <v>0.52083932853713577</v>
      </c>
      <c r="H48">
        <v>651.57000000000005</v>
      </c>
      <c r="I48" s="2">
        <v>651.04916067146291</v>
      </c>
    </row>
    <row r="49" spans="1:12" ht="15.6" x14ac:dyDescent="0.3">
      <c r="A49" s="37"/>
      <c r="B49" s="38"/>
      <c r="F49" s="7" t="s">
        <v>1546</v>
      </c>
      <c r="G49" s="5">
        <v>36.621382897022826</v>
      </c>
      <c r="H49">
        <v>73049.520000000033</v>
      </c>
      <c r="I49" s="2">
        <v>73012.898617102968</v>
      </c>
    </row>
    <row r="50" spans="1:12" ht="15.6" x14ac:dyDescent="0.3">
      <c r="A50" s="37"/>
      <c r="B50" s="39"/>
    </row>
    <row r="51" spans="1:12" ht="15.6" x14ac:dyDescent="0.3">
      <c r="A51" s="37"/>
      <c r="B51" s="40"/>
    </row>
    <row r="52" spans="1:12" ht="15.6" x14ac:dyDescent="0.3">
      <c r="A52" s="37"/>
      <c r="B52" s="39"/>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B95"/>
  <sheetViews>
    <sheetView tabSelected="1" zoomScale="44" zoomScaleNormal="25" workbookViewId="0">
      <selection activeCell="AA39" sqref="AA39"/>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7" max="27" width="41"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1" t="s">
        <v>1563</v>
      </c>
      <c r="D1" s="42"/>
      <c r="E1" s="42"/>
      <c r="F1" s="42"/>
      <c r="G1" s="42"/>
      <c r="H1" s="42"/>
      <c r="I1" s="42"/>
      <c r="J1" s="42"/>
      <c r="K1" s="42"/>
      <c r="L1" s="42"/>
      <c r="M1" s="42"/>
      <c r="N1" s="42"/>
      <c r="O1" s="42"/>
      <c r="P1" s="42"/>
      <c r="Q1" s="42"/>
      <c r="R1" s="42"/>
      <c r="S1" s="42"/>
      <c r="T1" s="42"/>
      <c r="U1" s="42"/>
      <c r="V1" s="42"/>
      <c r="W1" s="42"/>
      <c r="X1" s="18"/>
    </row>
    <row r="2" spans="2:28" ht="54.6" customHeight="1" x14ac:dyDescent="0.3">
      <c r="B2" s="36"/>
      <c r="C2" s="43" t="s">
        <v>1564</v>
      </c>
      <c r="D2" s="43"/>
      <c r="E2" s="43"/>
      <c r="F2" s="43"/>
      <c r="G2" s="43"/>
      <c r="H2" s="43"/>
      <c r="I2" s="43"/>
      <c r="J2" s="17"/>
      <c r="K2" s="17"/>
      <c r="L2" s="17"/>
      <c r="M2" s="47" t="s">
        <v>1569</v>
      </c>
      <c r="N2" s="48"/>
      <c r="O2" s="48"/>
      <c r="P2" s="48"/>
      <c r="Q2" s="48"/>
      <c r="R2" s="48"/>
      <c r="S2" s="48"/>
      <c r="T2" s="48"/>
      <c r="U2" s="48"/>
      <c r="V2" s="48"/>
      <c r="W2" s="48"/>
      <c r="X2" s="48"/>
    </row>
    <row r="3" spans="2:28" ht="32.4" customHeight="1" x14ac:dyDescent="0.3">
      <c r="C3" s="13"/>
      <c r="D3" s="13"/>
      <c r="E3" s="13"/>
      <c r="F3" s="13"/>
      <c r="G3" s="13"/>
      <c r="H3" s="13"/>
      <c r="I3" s="13"/>
      <c r="J3" s="13"/>
      <c r="K3" s="13"/>
      <c r="L3" s="13"/>
      <c r="M3" s="17"/>
      <c r="N3" s="17"/>
      <c r="O3" s="17"/>
      <c r="P3" s="17"/>
      <c r="Q3" s="17"/>
      <c r="R3" s="17"/>
      <c r="S3" s="17"/>
      <c r="T3" s="17"/>
      <c r="U3" s="17"/>
      <c r="V3" s="17"/>
      <c r="W3" s="17"/>
      <c r="X3" s="17"/>
    </row>
    <row r="4" spans="2:28" ht="36.6" customHeight="1" thickBot="1" x14ac:dyDescent="0.35">
      <c r="C4" s="13"/>
      <c r="D4" s="13"/>
      <c r="E4" s="13"/>
      <c r="F4" s="13"/>
      <c r="G4" s="13"/>
      <c r="H4" s="13"/>
      <c r="I4" s="13"/>
      <c r="J4" s="13"/>
      <c r="K4" s="13"/>
      <c r="L4" s="13"/>
      <c r="M4" s="17"/>
      <c r="N4" s="17"/>
      <c r="O4" s="17"/>
      <c r="P4" s="17"/>
      <c r="Q4" s="17"/>
      <c r="R4" s="17"/>
      <c r="S4" s="17"/>
      <c r="T4" s="17"/>
      <c r="U4" s="17"/>
      <c r="V4" s="17"/>
      <c r="W4" s="17"/>
      <c r="X4" s="17"/>
      <c r="AA4" t="s">
        <v>1571</v>
      </c>
      <c r="AB4" s="11">
        <f>ABS(N8-O8)</f>
        <v>24083044001</v>
      </c>
    </row>
    <row r="5" spans="2:28" ht="28.8" x14ac:dyDescent="0.55000000000000004">
      <c r="C5" s="13"/>
      <c r="D5" s="13"/>
      <c r="E5" s="13"/>
      <c r="F5" s="13"/>
      <c r="G5" s="13"/>
      <c r="H5" s="13"/>
      <c r="I5" s="13"/>
      <c r="J5" s="13"/>
      <c r="K5" s="13"/>
      <c r="L5" s="13"/>
      <c r="M5" s="19" t="s">
        <v>0</v>
      </c>
      <c r="N5" s="20" t="s">
        <v>18</v>
      </c>
      <c r="O5" s="21" t="s">
        <v>27</v>
      </c>
      <c r="P5" s="17"/>
      <c r="Q5" s="17"/>
      <c r="R5" s="17"/>
      <c r="S5" s="17"/>
      <c r="T5" s="17"/>
      <c r="U5" s="17"/>
      <c r="V5" s="17"/>
      <c r="W5" s="17"/>
      <c r="X5" s="17"/>
      <c r="AA5" t="s">
        <v>1572</v>
      </c>
      <c r="AB5" s="11">
        <f>ABS(N9-O9)</f>
        <v>1113390756048</v>
      </c>
    </row>
    <row r="6" spans="2:28" ht="28.8" x14ac:dyDescent="0.55000000000000004">
      <c r="C6" s="13"/>
      <c r="D6" s="13"/>
      <c r="E6" s="13"/>
      <c r="F6" s="13"/>
      <c r="G6" s="13"/>
      <c r="H6" s="13"/>
      <c r="I6" s="13"/>
      <c r="J6" s="13"/>
      <c r="K6" s="13"/>
      <c r="L6" s="13"/>
      <c r="M6" s="22" t="s">
        <v>1</v>
      </c>
      <c r="N6" s="23" t="str">
        <f>_xlfn.XLOOKUP(N5,'Cleaned_Data'!A:A,'Cleaned_Data'!B:B)</f>
        <v>BTC</v>
      </c>
      <c r="O6" s="24" t="str">
        <f>_xlfn.XLOOKUP(O5,'Cleaned_Data'!A:A,'Cleaned_Data'!B:B)</f>
        <v>ETH</v>
      </c>
      <c r="P6" s="17"/>
      <c r="Q6" s="17"/>
      <c r="R6" s="17"/>
      <c r="S6" s="17"/>
      <c r="T6" s="17"/>
      <c r="U6" s="17"/>
      <c r="V6" s="17"/>
      <c r="W6" s="17"/>
      <c r="X6" s="17"/>
      <c r="AA6" t="s">
        <v>1573</v>
      </c>
      <c r="AB6" s="11">
        <f>ABS(N10-O10)</f>
        <v>100700000</v>
      </c>
    </row>
    <row r="7" spans="2:28" ht="28.8" x14ac:dyDescent="0.55000000000000004">
      <c r="C7" s="13"/>
      <c r="D7" s="13"/>
      <c r="E7" s="13"/>
      <c r="F7" s="13"/>
      <c r="G7" s="13"/>
      <c r="H7" s="13"/>
      <c r="I7" s="13"/>
      <c r="J7" s="13"/>
      <c r="K7" s="13"/>
      <c r="L7" s="13"/>
      <c r="M7" s="22" t="s">
        <v>1552</v>
      </c>
      <c r="N7" s="23">
        <f>_xlfn.XLOOKUP(N5,'Cleaned_Data'!A:A,'Cleaned_Data'!C:C)</f>
        <v>68106.12</v>
      </c>
      <c r="O7" s="25">
        <f>_xlfn.XLOOKUP(O5,'Cleaned_Data'!A:A,'Cleaned_Data'!C:C)</f>
        <v>2049.58</v>
      </c>
      <c r="P7" s="17"/>
      <c r="Q7" s="17"/>
      <c r="R7" s="17"/>
      <c r="S7" s="17"/>
      <c r="T7" s="17"/>
      <c r="U7" s="17"/>
      <c r="V7" s="17"/>
      <c r="W7" s="17"/>
      <c r="X7" s="17"/>
    </row>
    <row r="8" spans="2:28" ht="28.8" x14ac:dyDescent="0.55000000000000004">
      <c r="C8" s="13"/>
      <c r="D8" s="13"/>
      <c r="E8" s="13"/>
      <c r="F8" s="13"/>
      <c r="G8" s="13"/>
      <c r="H8" s="13"/>
      <c r="I8" s="13"/>
      <c r="J8" s="13"/>
      <c r="K8" s="13"/>
      <c r="L8" s="13"/>
      <c r="M8" s="22" t="s">
        <v>1558</v>
      </c>
      <c r="N8" s="26">
        <f>_xlfn.XLOOKUP(N5,'Cleaned_Data'!A:A,'Cleaned_Data'!H:H)</f>
        <v>55110655820</v>
      </c>
      <c r="O8" s="27">
        <f>_xlfn.XLOOKUP(O5,'Cleaned_Data'!A:A,'Cleaned_Data'!H:H)</f>
        <v>31027611819</v>
      </c>
      <c r="P8" s="17"/>
      <c r="Q8" s="17"/>
      <c r="R8" s="17"/>
      <c r="S8" s="17"/>
      <c r="T8" s="17"/>
      <c r="U8" s="17"/>
      <c r="V8" s="17"/>
      <c r="W8" s="17"/>
      <c r="X8" s="17"/>
    </row>
    <row r="9" spans="2:28" ht="28.8" x14ac:dyDescent="0.55000000000000004">
      <c r="C9" s="13"/>
      <c r="D9" s="13"/>
      <c r="E9" s="13"/>
      <c r="F9" s="13"/>
      <c r="G9" s="13"/>
      <c r="H9" s="13"/>
      <c r="I9" s="13"/>
      <c r="J9" s="13"/>
      <c r="K9" s="13"/>
      <c r="L9" s="13"/>
      <c r="M9" s="22" t="s">
        <v>6</v>
      </c>
      <c r="N9" s="26">
        <f>_xlfn.XLOOKUP(N5,'Cleaned_Data'!A:A,'Cleaned_Data'!G:G)</f>
        <v>1360805946728</v>
      </c>
      <c r="O9" s="27">
        <f>_xlfn.XLOOKUP(O5,'Cleaned_Data'!A:A,'Cleaned_Data'!G:G)</f>
        <v>247415190680</v>
      </c>
      <c r="P9" s="17"/>
      <c r="Q9" s="17"/>
      <c r="R9" s="17"/>
      <c r="S9" s="17"/>
      <c r="T9" s="17"/>
      <c r="U9" s="17"/>
      <c r="V9" s="17"/>
      <c r="W9" s="17"/>
      <c r="X9" s="17"/>
    </row>
    <row r="10" spans="2:28" ht="29.4" thickBot="1" x14ac:dyDescent="0.6">
      <c r="C10" s="13"/>
      <c r="D10" s="13"/>
      <c r="E10" s="13"/>
      <c r="F10" s="13"/>
      <c r="G10" s="13"/>
      <c r="H10" s="13"/>
      <c r="I10" s="13"/>
      <c r="J10" s="13"/>
      <c r="K10" s="13"/>
      <c r="L10" s="13"/>
      <c r="M10" s="28" t="s">
        <v>8</v>
      </c>
      <c r="N10" s="29">
        <f>_xlfn.XLOOKUP(N5,'Cleaned_Data'!A:A,'Cleaned_Data'!I:I)</f>
        <v>19990000</v>
      </c>
      <c r="O10" s="30">
        <f>_xlfn.XLOOKUP(O5,'Cleaned_Data'!A:A,'Cleaned_Data'!I:I)</f>
        <v>120690000</v>
      </c>
      <c r="P10" s="17"/>
      <c r="Q10" s="17"/>
      <c r="R10" s="17"/>
      <c r="S10" s="17"/>
      <c r="T10" s="17"/>
      <c r="U10" s="17"/>
      <c r="V10" s="17"/>
      <c r="W10" s="17"/>
      <c r="X10" s="17"/>
    </row>
    <row r="11" spans="2:28" x14ac:dyDescent="0.3">
      <c r="C11" s="13"/>
      <c r="D11" s="13"/>
      <c r="E11" s="13"/>
      <c r="F11" s="13"/>
      <c r="G11" s="13"/>
      <c r="H11" s="13"/>
      <c r="I11" s="13"/>
      <c r="J11" s="13"/>
      <c r="K11" s="13"/>
      <c r="L11" s="13"/>
      <c r="M11" s="17"/>
      <c r="N11" s="17"/>
      <c r="O11" s="17"/>
      <c r="P11" s="17"/>
      <c r="Q11" s="17"/>
      <c r="R11" s="17"/>
      <c r="S11" s="17"/>
      <c r="T11" s="17"/>
      <c r="U11" s="17"/>
      <c r="V11" s="17"/>
      <c r="W11" s="17"/>
      <c r="X11" s="17"/>
    </row>
    <row r="12" spans="2:28" ht="34.799999999999997" customHeight="1" x14ac:dyDescent="0.3">
      <c r="C12" s="13"/>
      <c r="D12" s="13"/>
      <c r="E12" s="13"/>
      <c r="F12" s="13"/>
      <c r="G12" s="13"/>
      <c r="H12" s="13"/>
      <c r="I12" s="13"/>
      <c r="J12" s="13"/>
      <c r="K12" s="13"/>
      <c r="L12" s="13"/>
      <c r="M12" s="17"/>
      <c r="N12" s="17"/>
      <c r="O12" s="17"/>
      <c r="P12" s="17"/>
      <c r="Q12" s="17"/>
      <c r="R12" s="17"/>
      <c r="S12" s="17"/>
      <c r="T12" s="17"/>
      <c r="U12" s="17"/>
      <c r="V12" s="17"/>
      <c r="W12" s="17"/>
      <c r="X12" s="17"/>
    </row>
    <row r="13" spans="2:28" x14ac:dyDescent="0.3">
      <c r="C13" s="13"/>
      <c r="D13" s="13"/>
      <c r="E13" s="13"/>
      <c r="F13" s="13"/>
      <c r="G13" s="13"/>
      <c r="H13" s="13"/>
      <c r="I13" s="13"/>
      <c r="J13" s="13"/>
      <c r="K13" s="13"/>
      <c r="L13" s="13"/>
      <c r="M13" s="17"/>
      <c r="N13" s="17"/>
      <c r="O13" s="17"/>
      <c r="P13" s="17"/>
      <c r="Q13" s="17"/>
      <c r="R13" s="17"/>
      <c r="S13" s="17"/>
      <c r="T13" s="17"/>
      <c r="U13" s="17"/>
      <c r="V13" s="17"/>
      <c r="W13" s="17"/>
      <c r="X13" s="17"/>
    </row>
    <row r="14" spans="2:28" x14ac:dyDescent="0.3">
      <c r="C14" s="13"/>
      <c r="D14" s="13"/>
      <c r="E14" s="13"/>
      <c r="F14" s="13"/>
      <c r="G14" s="13"/>
      <c r="H14" s="13"/>
      <c r="I14" s="13"/>
      <c r="J14" s="13"/>
      <c r="K14" s="13"/>
      <c r="L14" s="13"/>
      <c r="M14" s="17"/>
      <c r="N14" s="17"/>
      <c r="O14" s="17"/>
      <c r="P14" s="17"/>
      <c r="Q14" s="17"/>
      <c r="R14" s="17"/>
      <c r="S14" s="17"/>
      <c r="T14" s="17"/>
      <c r="U14" s="17"/>
      <c r="V14" s="17"/>
      <c r="W14" s="17"/>
      <c r="X14" s="17"/>
    </row>
    <row r="15" spans="2:28" x14ac:dyDescent="0.3">
      <c r="C15" s="13"/>
      <c r="D15" s="13"/>
      <c r="E15" s="13"/>
      <c r="F15" s="13"/>
      <c r="G15" s="13"/>
      <c r="H15" s="13"/>
      <c r="I15" s="13"/>
      <c r="J15" s="13"/>
      <c r="K15" s="13"/>
      <c r="L15" s="13"/>
      <c r="M15" s="17"/>
      <c r="N15" s="17"/>
      <c r="O15" s="17"/>
      <c r="P15" s="17"/>
      <c r="Q15" s="17"/>
      <c r="R15" s="17"/>
      <c r="S15" s="17"/>
      <c r="T15" s="17"/>
      <c r="U15" s="17"/>
      <c r="V15" s="17"/>
      <c r="W15" s="17"/>
      <c r="X15" s="17"/>
    </row>
    <row r="16" spans="2:28" x14ac:dyDescent="0.3">
      <c r="C16" s="13"/>
      <c r="D16" s="13"/>
      <c r="E16" s="13"/>
      <c r="F16" s="13"/>
      <c r="G16" s="13"/>
      <c r="H16" s="13"/>
      <c r="I16" s="13"/>
      <c r="J16" s="13"/>
      <c r="K16" s="13"/>
      <c r="L16" s="13"/>
      <c r="M16" s="17"/>
      <c r="N16" s="17"/>
      <c r="O16" s="17"/>
      <c r="P16" s="17"/>
      <c r="Q16" s="17"/>
      <c r="R16" s="17"/>
      <c r="S16" s="17"/>
      <c r="T16" s="17"/>
      <c r="U16" s="17"/>
      <c r="V16" s="17"/>
      <c r="W16" s="17"/>
      <c r="X16" s="17"/>
    </row>
    <row r="17" spans="3:24" ht="14.4" customHeight="1" x14ac:dyDescent="0.3">
      <c r="C17" s="34"/>
      <c r="D17" s="35"/>
      <c r="E17" s="35"/>
      <c r="F17" s="35"/>
      <c r="G17" s="35"/>
      <c r="H17" s="35"/>
      <c r="I17" s="35"/>
      <c r="J17" s="35"/>
      <c r="K17" s="35"/>
      <c r="L17" s="35"/>
      <c r="M17" s="17"/>
      <c r="N17" s="17"/>
      <c r="O17" s="17"/>
      <c r="P17" s="17"/>
      <c r="Q17" s="17"/>
      <c r="R17" s="17"/>
      <c r="S17" s="17"/>
      <c r="T17" s="17"/>
      <c r="U17" s="17"/>
      <c r="V17" s="17"/>
      <c r="W17" s="17"/>
      <c r="X17" s="17"/>
    </row>
    <row r="18" spans="3:24" ht="14.4" customHeight="1" x14ac:dyDescent="0.3">
      <c r="C18" s="45" t="s">
        <v>1565</v>
      </c>
      <c r="D18" s="49"/>
      <c r="E18" s="49"/>
      <c r="F18" s="49"/>
      <c r="G18" s="49"/>
      <c r="H18" s="49"/>
      <c r="I18" s="49"/>
      <c r="J18" s="49"/>
      <c r="K18" s="49"/>
      <c r="L18" s="35"/>
      <c r="M18" s="45" t="s">
        <v>1568</v>
      </c>
      <c r="N18" s="45"/>
      <c r="O18" s="45"/>
      <c r="P18" s="13"/>
      <c r="Q18" s="13"/>
      <c r="R18" s="13"/>
      <c r="S18" s="13"/>
      <c r="T18" s="13"/>
      <c r="U18" s="13"/>
      <c r="V18" s="13"/>
      <c r="W18" s="13"/>
      <c r="X18" s="13"/>
    </row>
    <row r="19" spans="3:24" ht="14.4" customHeight="1" x14ac:dyDescent="0.3">
      <c r="C19" s="49"/>
      <c r="D19" s="49"/>
      <c r="E19" s="49"/>
      <c r="F19" s="49"/>
      <c r="G19" s="49"/>
      <c r="H19" s="49"/>
      <c r="I19" s="49"/>
      <c r="J19" s="49"/>
      <c r="K19" s="49"/>
      <c r="L19" s="35"/>
      <c r="M19" s="45"/>
      <c r="N19" s="45"/>
      <c r="O19" s="45"/>
      <c r="P19" s="13"/>
      <c r="Q19" s="13"/>
      <c r="R19" s="13"/>
      <c r="S19" s="13"/>
      <c r="T19" s="13"/>
      <c r="U19" s="13"/>
      <c r="V19" s="13"/>
      <c r="W19" s="13"/>
      <c r="X19" s="13"/>
    </row>
    <row r="20" spans="3:24" ht="14.4" customHeight="1" x14ac:dyDescent="0.3">
      <c r="C20" s="49"/>
      <c r="D20" s="49"/>
      <c r="E20" s="49"/>
      <c r="F20" s="49"/>
      <c r="G20" s="49"/>
      <c r="H20" s="49"/>
      <c r="I20" s="49"/>
      <c r="J20" s="49"/>
      <c r="K20" s="49"/>
      <c r="L20" s="35"/>
      <c r="M20" s="45"/>
      <c r="N20" s="45"/>
      <c r="O20" s="45"/>
      <c r="P20" s="13"/>
      <c r="Q20" s="13"/>
      <c r="R20" s="13"/>
      <c r="S20" s="13"/>
      <c r="T20" s="13"/>
      <c r="U20" s="13"/>
      <c r="V20" s="13"/>
      <c r="W20" s="13"/>
      <c r="X20" s="13"/>
    </row>
    <row r="21" spans="3:24" ht="14.4" customHeight="1" x14ac:dyDescent="0.3">
      <c r="C21" s="35"/>
      <c r="D21" s="35"/>
      <c r="E21" s="35"/>
      <c r="F21" s="35"/>
      <c r="G21" s="35"/>
      <c r="H21" s="35"/>
      <c r="I21" s="35"/>
      <c r="J21" s="35"/>
      <c r="K21" s="35"/>
      <c r="L21" s="35"/>
      <c r="M21" s="45"/>
      <c r="N21" s="45"/>
      <c r="O21" s="45"/>
      <c r="P21" s="13"/>
      <c r="Q21" s="13"/>
      <c r="R21" s="13"/>
      <c r="S21" s="13"/>
      <c r="T21" s="13"/>
      <c r="U21" s="13"/>
      <c r="V21" s="13"/>
      <c r="W21" s="13"/>
      <c r="X21" s="13"/>
    </row>
    <row r="22" spans="3:24" ht="14.4" customHeight="1" x14ac:dyDescent="0.3">
      <c r="C22" s="35"/>
      <c r="D22" s="35"/>
      <c r="E22" s="35"/>
      <c r="F22" s="35"/>
      <c r="G22" s="35"/>
      <c r="H22" s="35"/>
      <c r="I22" s="35"/>
      <c r="J22" s="35"/>
      <c r="K22" s="35"/>
      <c r="L22" s="35"/>
      <c r="M22" s="31"/>
      <c r="N22" s="31"/>
      <c r="O22" s="32"/>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4" x14ac:dyDescent="0.3">
      <c r="C33" s="13"/>
      <c r="D33" s="13"/>
      <c r="E33" s="13"/>
      <c r="F33" s="13"/>
      <c r="G33" s="13"/>
      <c r="H33" s="13"/>
      <c r="I33" s="13"/>
      <c r="J33" s="13"/>
      <c r="K33" s="13"/>
      <c r="L33" s="13"/>
      <c r="M33" s="13"/>
      <c r="N33" s="13"/>
      <c r="O33" s="13"/>
      <c r="P33" s="13"/>
      <c r="Q33" s="13"/>
      <c r="R33" s="13"/>
      <c r="S33" s="13"/>
      <c r="T33" s="13"/>
      <c r="U33" s="13"/>
      <c r="V33" s="13"/>
      <c r="W33" s="13"/>
      <c r="X33" s="13"/>
    </row>
    <row r="34" spans="3:24" x14ac:dyDescent="0.3">
      <c r="C34" s="13"/>
      <c r="D34" s="13"/>
      <c r="E34" s="13"/>
      <c r="F34" s="13"/>
      <c r="G34" s="13"/>
      <c r="H34" s="13"/>
      <c r="I34" s="13"/>
      <c r="J34" s="13"/>
      <c r="K34" s="13"/>
      <c r="L34" s="13"/>
      <c r="M34" s="13"/>
      <c r="N34" s="13"/>
      <c r="O34" s="13"/>
      <c r="P34" s="13"/>
      <c r="Q34" s="13"/>
      <c r="R34" s="13"/>
      <c r="S34" s="13"/>
      <c r="T34" s="13"/>
      <c r="U34" s="13"/>
      <c r="V34" s="13"/>
      <c r="W34" s="13"/>
      <c r="X34" s="13"/>
    </row>
    <row r="35" spans="3:24" x14ac:dyDescent="0.3">
      <c r="C35" s="13"/>
      <c r="D35" s="13"/>
      <c r="E35" s="13"/>
      <c r="F35" s="13"/>
      <c r="G35" s="13"/>
      <c r="H35" s="13"/>
      <c r="I35" s="13"/>
      <c r="J35" s="13"/>
      <c r="K35" s="13"/>
      <c r="L35" s="13"/>
      <c r="M35" s="13"/>
      <c r="N35" s="13"/>
      <c r="O35" s="13"/>
      <c r="P35" s="13"/>
      <c r="Q35" s="13"/>
      <c r="R35" s="13"/>
      <c r="S35" s="13"/>
      <c r="T35" s="13"/>
      <c r="U35" s="13"/>
      <c r="V35" s="13"/>
      <c r="W35" s="13"/>
      <c r="X35" s="13"/>
    </row>
    <row r="36" spans="3:24" x14ac:dyDescent="0.3">
      <c r="C36" s="13"/>
      <c r="D36" s="13"/>
      <c r="E36" s="13"/>
      <c r="F36" s="13"/>
      <c r="G36" s="13"/>
      <c r="H36" s="13"/>
      <c r="I36" s="13"/>
      <c r="J36" s="13"/>
      <c r="K36" s="13"/>
      <c r="L36" s="13"/>
      <c r="M36" s="13"/>
      <c r="N36" s="13"/>
      <c r="O36" s="13"/>
      <c r="P36" s="13"/>
      <c r="Q36" s="13"/>
      <c r="R36" s="13"/>
      <c r="S36" s="13"/>
      <c r="T36" s="13"/>
      <c r="U36" s="13"/>
      <c r="V36" s="13"/>
      <c r="W36" s="13"/>
      <c r="X36" s="13"/>
    </row>
    <row r="37" spans="3:24" x14ac:dyDescent="0.3">
      <c r="C37" s="13"/>
      <c r="D37" s="13"/>
      <c r="E37" s="13"/>
      <c r="F37" s="13"/>
      <c r="G37" s="13"/>
      <c r="H37" s="13"/>
      <c r="I37" s="13"/>
      <c r="J37" s="13"/>
      <c r="K37" s="13"/>
      <c r="L37" s="13"/>
      <c r="M37" s="13"/>
      <c r="N37" s="13"/>
      <c r="O37" s="13"/>
      <c r="P37" s="13"/>
      <c r="Q37" s="13"/>
      <c r="R37" s="13"/>
      <c r="S37" s="13"/>
      <c r="T37" s="13"/>
      <c r="U37" s="13"/>
      <c r="V37" s="13"/>
      <c r="W37" s="13"/>
      <c r="X37" s="13"/>
    </row>
    <row r="38" spans="3:24" x14ac:dyDescent="0.3">
      <c r="C38" s="13"/>
      <c r="D38" s="13"/>
      <c r="E38" s="13"/>
      <c r="F38" s="13"/>
      <c r="G38" s="13"/>
      <c r="H38" s="13"/>
      <c r="I38" s="13"/>
      <c r="J38" s="13"/>
      <c r="K38" s="13"/>
      <c r="L38" s="13"/>
      <c r="M38" s="13"/>
      <c r="N38" s="13"/>
      <c r="O38" s="13"/>
      <c r="P38" s="13"/>
      <c r="Q38" s="13"/>
      <c r="R38" s="13"/>
      <c r="S38" s="13"/>
      <c r="T38" s="13"/>
      <c r="U38" s="13"/>
      <c r="V38" s="13"/>
      <c r="W38" s="13"/>
      <c r="X38" s="13"/>
    </row>
    <row r="39" spans="3:24" x14ac:dyDescent="0.3">
      <c r="C39" s="13"/>
      <c r="D39" s="13"/>
      <c r="E39" s="13"/>
      <c r="F39" s="13"/>
      <c r="G39" s="13"/>
      <c r="H39" s="13"/>
      <c r="I39" s="13"/>
      <c r="J39" s="13"/>
      <c r="K39" s="13"/>
      <c r="L39" s="13"/>
      <c r="M39" s="13"/>
      <c r="N39" s="13"/>
      <c r="O39" s="13"/>
      <c r="P39" s="13"/>
      <c r="Q39" s="13"/>
      <c r="R39" s="13"/>
      <c r="S39" s="13"/>
      <c r="T39" s="13"/>
      <c r="U39" s="13"/>
      <c r="V39" s="13"/>
      <c r="W39" s="13"/>
      <c r="X39" s="13"/>
    </row>
    <row r="40" spans="3:24" x14ac:dyDescent="0.3">
      <c r="C40" s="13"/>
      <c r="D40" s="13"/>
      <c r="E40" s="13"/>
      <c r="F40" s="13"/>
      <c r="G40" s="13"/>
      <c r="H40" s="13"/>
      <c r="I40" s="13"/>
      <c r="J40" s="13"/>
      <c r="K40" s="13"/>
      <c r="L40" s="13"/>
      <c r="M40" s="13"/>
      <c r="N40" s="13"/>
      <c r="O40" s="13"/>
      <c r="P40" s="13"/>
      <c r="Q40" s="13"/>
      <c r="R40" s="13"/>
      <c r="S40" s="13"/>
      <c r="T40" s="13"/>
      <c r="U40" s="13"/>
      <c r="V40" s="13"/>
      <c r="W40" s="13"/>
      <c r="X40" s="13"/>
    </row>
    <row r="41" spans="3:24" x14ac:dyDescent="0.3">
      <c r="C41" s="13"/>
      <c r="D41" s="13"/>
      <c r="E41" s="13"/>
      <c r="F41" s="13"/>
      <c r="G41" s="13"/>
      <c r="H41" s="13"/>
      <c r="I41" s="13"/>
      <c r="J41" s="13"/>
      <c r="K41" s="13"/>
      <c r="L41" s="13"/>
      <c r="M41" s="13"/>
      <c r="N41" s="13"/>
      <c r="O41" s="13"/>
      <c r="P41" s="13"/>
      <c r="Q41" s="13"/>
      <c r="R41" s="13"/>
      <c r="S41" s="13"/>
      <c r="T41" s="13"/>
      <c r="U41" s="13"/>
      <c r="V41" s="13"/>
      <c r="W41" s="13"/>
      <c r="X41" s="13"/>
    </row>
    <row r="42" spans="3:24" x14ac:dyDescent="0.3">
      <c r="C42" s="13"/>
      <c r="D42" s="13"/>
      <c r="E42" s="13"/>
      <c r="F42" s="13"/>
      <c r="G42" s="13"/>
      <c r="H42" s="13"/>
      <c r="I42" s="13"/>
      <c r="J42" s="13"/>
      <c r="K42" s="13"/>
      <c r="L42" s="13"/>
      <c r="M42" s="13"/>
      <c r="N42" s="13"/>
      <c r="O42" s="13"/>
      <c r="P42" s="13"/>
      <c r="Q42" s="13"/>
      <c r="R42" s="13"/>
      <c r="S42" s="13"/>
      <c r="T42" s="13"/>
      <c r="U42" s="13"/>
      <c r="V42" s="13"/>
      <c r="W42" s="13"/>
      <c r="X42" s="13"/>
    </row>
    <row r="43" spans="3:24" x14ac:dyDescent="0.3">
      <c r="C43" s="13"/>
      <c r="D43" s="13"/>
      <c r="E43" s="13"/>
      <c r="F43" s="13"/>
      <c r="G43" s="13"/>
      <c r="H43" s="13"/>
      <c r="I43" s="13"/>
      <c r="J43" s="13"/>
      <c r="K43" s="13"/>
      <c r="L43" s="13"/>
      <c r="M43" s="33"/>
      <c r="N43" s="33"/>
      <c r="O43" s="33"/>
      <c r="P43" s="33"/>
      <c r="Q43" s="33"/>
      <c r="R43" s="33"/>
      <c r="S43" s="33"/>
      <c r="T43" s="33"/>
      <c r="U43" s="33"/>
      <c r="V43" s="33"/>
      <c r="W43" s="33"/>
      <c r="X43" s="33"/>
    </row>
    <row r="44" spans="3:24" x14ac:dyDescent="0.3">
      <c r="C44" s="13"/>
      <c r="D44" s="13"/>
      <c r="E44" s="13"/>
      <c r="F44" s="13"/>
      <c r="G44" s="13"/>
      <c r="H44" s="13"/>
      <c r="I44" s="13"/>
      <c r="J44" s="13"/>
      <c r="K44" s="13"/>
      <c r="L44" s="13"/>
      <c r="M44" s="33"/>
      <c r="N44" s="33"/>
      <c r="O44" s="33"/>
      <c r="P44" s="33"/>
      <c r="Q44" s="33"/>
      <c r="R44" s="33"/>
      <c r="S44" s="33"/>
      <c r="T44" s="33"/>
      <c r="U44" s="33"/>
      <c r="V44" s="33"/>
      <c r="W44" s="33"/>
      <c r="X44" s="33"/>
    </row>
    <row r="45" spans="3:24" ht="53.4" customHeight="1" x14ac:dyDescent="0.3">
      <c r="C45" s="13"/>
      <c r="D45" s="13"/>
      <c r="E45" s="13"/>
      <c r="F45" s="13"/>
      <c r="G45" s="13"/>
      <c r="H45" s="13"/>
      <c r="I45" s="13"/>
      <c r="J45" s="13"/>
      <c r="K45" s="13"/>
      <c r="L45" s="13"/>
      <c r="M45" s="33"/>
      <c r="N45" s="45" t="s">
        <v>1567</v>
      </c>
      <c r="O45" s="46"/>
      <c r="P45" s="46"/>
      <c r="Q45" s="46"/>
      <c r="R45" s="46"/>
      <c r="S45" s="46"/>
      <c r="T45" s="46"/>
      <c r="U45" s="46"/>
      <c r="V45" s="46"/>
      <c r="W45" s="33"/>
      <c r="X45" s="33"/>
    </row>
    <row r="46" spans="3:24" x14ac:dyDescent="0.3">
      <c r="C46" s="13"/>
      <c r="D46" s="13"/>
      <c r="E46" s="13"/>
      <c r="F46" s="13"/>
      <c r="G46" s="13"/>
      <c r="H46" s="13"/>
      <c r="I46" s="13"/>
      <c r="J46" s="13"/>
      <c r="K46" s="13"/>
      <c r="L46" s="13"/>
      <c r="M46" s="33"/>
      <c r="N46" s="33"/>
      <c r="O46" s="33"/>
      <c r="P46" s="33"/>
      <c r="Q46" s="33"/>
      <c r="R46" s="33"/>
      <c r="S46" s="33"/>
      <c r="T46" s="33"/>
      <c r="U46" s="33"/>
      <c r="V46" s="33"/>
      <c r="W46" s="33"/>
      <c r="X46" s="33"/>
    </row>
    <row r="47" spans="3:24" ht="14.4" customHeight="1" x14ac:dyDescent="0.3">
      <c r="C47" s="13"/>
      <c r="D47" s="44" t="s">
        <v>1566</v>
      </c>
      <c r="E47" s="44"/>
      <c r="F47" s="44"/>
      <c r="G47" s="44"/>
      <c r="H47" s="44"/>
      <c r="I47" s="44"/>
      <c r="J47" s="44"/>
      <c r="K47" s="13"/>
      <c r="L47" s="13"/>
      <c r="M47" s="33"/>
      <c r="N47" s="35"/>
      <c r="O47" s="35"/>
      <c r="P47" s="35"/>
      <c r="Q47" s="35"/>
      <c r="R47" s="35"/>
      <c r="S47" s="35"/>
      <c r="T47" s="35"/>
      <c r="U47" s="35"/>
      <c r="V47" s="35"/>
      <c r="W47" s="35"/>
      <c r="X47" s="33"/>
    </row>
    <row r="48" spans="3:24" ht="14.4" customHeight="1" x14ac:dyDescent="0.3">
      <c r="C48" s="13"/>
      <c r="D48" s="44"/>
      <c r="E48" s="44"/>
      <c r="F48" s="44"/>
      <c r="G48" s="44"/>
      <c r="H48" s="44"/>
      <c r="I48" s="44"/>
      <c r="J48" s="44"/>
      <c r="K48" s="13"/>
      <c r="L48" s="13"/>
      <c r="M48" s="33"/>
      <c r="N48" s="35"/>
      <c r="O48" s="35"/>
      <c r="P48" s="35"/>
      <c r="Q48" s="35"/>
      <c r="R48" s="35"/>
      <c r="S48" s="35"/>
      <c r="T48" s="35"/>
      <c r="U48" s="35"/>
      <c r="V48" s="35"/>
      <c r="W48" s="35"/>
      <c r="X48" s="33"/>
    </row>
    <row r="49" spans="3:24" ht="14.4" customHeight="1" x14ac:dyDescent="0.3">
      <c r="C49" s="13"/>
      <c r="D49" s="44"/>
      <c r="E49" s="44"/>
      <c r="F49" s="44"/>
      <c r="G49" s="44"/>
      <c r="H49" s="44"/>
      <c r="I49" s="44"/>
      <c r="J49" s="44"/>
      <c r="K49" s="13"/>
      <c r="L49" s="13"/>
      <c r="M49" s="33"/>
      <c r="N49" s="35"/>
      <c r="O49" s="35"/>
      <c r="P49" s="35"/>
      <c r="Q49" s="35"/>
      <c r="R49" s="35"/>
      <c r="S49" s="35"/>
      <c r="T49" s="35"/>
      <c r="U49" s="35"/>
      <c r="V49" s="35"/>
      <c r="W49" s="35"/>
      <c r="X49" s="33"/>
    </row>
    <row r="50" spans="3:24" x14ac:dyDescent="0.3">
      <c r="C50" s="13"/>
      <c r="D50" s="44"/>
      <c r="E50" s="44"/>
      <c r="F50" s="44"/>
      <c r="G50" s="44"/>
      <c r="H50" s="44"/>
      <c r="I50" s="44"/>
      <c r="J50" s="44"/>
      <c r="K50" s="13"/>
      <c r="L50" s="13"/>
      <c r="M50" s="13"/>
      <c r="N50" s="13"/>
      <c r="O50" s="13"/>
      <c r="P50" s="13"/>
      <c r="Q50" s="13"/>
      <c r="R50" s="13"/>
      <c r="S50" s="13"/>
      <c r="T50" s="13"/>
      <c r="U50" s="13"/>
      <c r="V50" s="13"/>
      <c r="W50" s="13"/>
      <c r="X50" s="13"/>
    </row>
    <row r="51" spans="3:24" x14ac:dyDescent="0.3">
      <c r="C51" s="13"/>
      <c r="D51" s="13"/>
      <c r="E51" s="13"/>
      <c r="F51" s="13"/>
      <c r="G51" s="13"/>
      <c r="H51" s="13"/>
      <c r="I51" s="13"/>
      <c r="J51" s="13"/>
      <c r="K51" s="13"/>
      <c r="L51" s="13"/>
      <c r="M51" s="13"/>
      <c r="N51" s="13"/>
      <c r="O51" s="13"/>
      <c r="P51" s="13"/>
      <c r="Q51" s="13"/>
      <c r="R51" s="13"/>
      <c r="S51" s="13"/>
      <c r="T51" s="13"/>
      <c r="U51" s="13"/>
      <c r="V51" s="13"/>
      <c r="W51" s="13"/>
      <c r="X51" s="13"/>
    </row>
    <row r="52" spans="3:24" x14ac:dyDescent="0.3">
      <c r="C52" s="13"/>
      <c r="D52" s="13"/>
      <c r="E52" s="13"/>
      <c r="F52" s="13"/>
      <c r="G52" s="13"/>
      <c r="H52" s="13"/>
      <c r="I52" s="13"/>
      <c r="J52" s="13"/>
      <c r="K52" s="13"/>
      <c r="L52" s="13"/>
      <c r="M52" s="13"/>
      <c r="N52" s="13"/>
      <c r="O52" s="13"/>
      <c r="P52" s="13"/>
      <c r="Q52" s="13"/>
      <c r="R52" s="13"/>
      <c r="S52" s="13"/>
      <c r="T52" s="13"/>
      <c r="U52" s="13"/>
      <c r="V52" s="13"/>
      <c r="W52" s="13"/>
      <c r="X52" s="13"/>
    </row>
    <row r="53" spans="3:24" x14ac:dyDescent="0.3">
      <c r="C53" s="13"/>
      <c r="D53" s="13"/>
      <c r="E53" s="13"/>
      <c r="F53" s="13"/>
      <c r="G53" s="13"/>
      <c r="H53" s="13"/>
      <c r="I53" s="13"/>
      <c r="J53" s="13"/>
      <c r="K53" s="13"/>
      <c r="L53" s="13"/>
      <c r="M53" s="13"/>
      <c r="N53" s="13"/>
      <c r="O53" s="13"/>
      <c r="P53" s="13"/>
      <c r="Q53" s="13"/>
      <c r="R53" s="13"/>
      <c r="S53" s="13"/>
      <c r="T53" s="13"/>
      <c r="U53" s="13"/>
      <c r="V53" s="13"/>
      <c r="W53" s="13"/>
      <c r="X53" s="13"/>
    </row>
    <row r="54" spans="3:24" x14ac:dyDescent="0.3">
      <c r="C54" s="13"/>
      <c r="D54" s="13"/>
      <c r="E54" s="13"/>
      <c r="F54" s="13"/>
      <c r="G54" s="13"/>
      <c r="H54" s="13"/>
      <c r="I54" s="13"/>
      <c r="J54" s="13"/>
      <c r="K54" s="13"/>
      <c r="L54" s="13"/>
      <c r="M54" s="13"/>
      <c r="N54" s="13"/>
      <c r="O54" s="13"/>
      <c r="P54" s="13"/>
      <c r="Q54" s="13"/>
      <c r="R54" s="13"/>
      <c r="S54" s="13"/>
      <c r="T54" s="13"/>
      <c r="U54" s="13"/>
      <c r="V54" s="13"/>
      <c r="W54" s="13"/>
      <c r="X54" s="13"/>
    </row>
    <row r="55" spans="3:24" x14ac:dyDescent="0.3">
      <c r="C55" s="13"/>
      <c r="D55" s="13"/>
      <c r="E55" s="13"/>
      <c r="F55" s="13"/>
      <c r="G55" s="13"/>
      <c r="H55" s="13"/>
      <c r="I55" s="13"/>
      <c r="J55" s="13"/>
      <c r="K55" s="13"/>
      <c r="L55" s="13"/>
      <c r="M55" s="13"/>
      <c r="N55" s="13"/>
      <c r="O55" s="13"/>
      <c r="P55" s="13"/>
      <c r="Q55" s="13"/>
      <c r="R55" s="13"/>
      <c r="S55" s="13"/>
      <c r="T55" s="13"/>
      <c r="U55" s="13"/>
      <c r="V55" s="13"/>
      <c r="W55" s="13"/>
      <c r="X55" s="13"/>
    </row>
    <row r="56" spans="3:24" ht="18" x14ac:dyDescent="0.35">
      <c r="C56" s="13"/>
      <c r="D56" s="13"/>
      <c r="E56" s="13"/>
      <c r="F56" s="13"/>
      <c r="G56" s="13"/>
      <c r="H56" s="13"/>
      <c r="I56" s="13"/>
      <c r="J56" s="13"/>
      <c r="K56" s="13"/>
      <c r="L56" s="13"/>
      <c r="M56" s="14"/>
      <c r="N56" s="14"/>
      <c r="O56" s="13"/>
      <c r="P56" s="13"/>
      <c r="Q56" s="13"/>
      <c r="R56" s="13"/>
      <c r="S56" s="13"/>
      <c r="T56" s="13"/>
      <c r="U56" s="13"/>
      <c r="V56" s="13"/>
      <c r="W56" s="13"/>
      <c r="X56" s="13"/>
    </row>
    <row r="57" spans="3:24" x14ac:dyDescent="0.3">
      <c r="C57" s="13"/>
      <c r="D57" s="13"/>
      <c r="E57" s="13"/>
      <c r="F57" s="13"/>
      <c r="G57" s="13"/>
      <c r="H57" s="13"/>
      <c r="I57" s="13"/>
      <c r="J57" s="13"/>
      <c r="K57" s="13"/>
      <c r="L57" s="13"/>
      <c r="M57" s="13"/>
      <c r="N57" s="13"/>
      <c r="O57" s="13"/>
      <c r="P57" s="13"/>
      <c r="Q57" s="13"/>
      <c r="R57" s="13"/>
      <c r="S57" s="13"/>
      <c r="T57" s="13"/>
      <c r="U57" s="13"/>
      <c r="V57" s="13"/>
      <c r="W57" s="13"/>
      <c r="X57" s="13"/>
    </row>
    <row r="58" spans="3:24" x14ac:dyDescent="0.3">
      <c r="C58" s="13"/>
      <c r="D58" s="13"/>
      <c r="E58" s="13"/>
      <c r="F58" s="13"/>
      <c r="G58" s="13"/>
      <c r="H58" s="13"/>
      <c r="I58" s="13"/>
      <c r="J58" s="13"/>
      <c r="K58" s="13"/>
      <c r="L58" s="13"/>
      <c r="M58" s="13"/>
      <c r="N58" s="13"/>
      <c r="O58" s="13"/>
      <c r="P58" s="13"/>
      <c r="Q58" s="13"/>
      <c r="R58" s="13"/>
      <c r="S58" s="13"/>
      <c r="T58" s="13"/>
      <c r="U58" s="13"/>
      <c r="V58" s="13"/>
      <c r="W58" s="13"/>
      <c r="X58" s="13"/>
    </row>
    <row r="59" spans="3:24" x14ac:dyDescent="0.3">
      <c r="C59" s="13"/>
      <c r="D59" s="13"/>
      <c r="E59" s="13"/>
      <c r="F59" s="13"/>
      <c r="G59" s="13"/>
      <c r="H59" s="13"/>
      <c r="I59" s="13"/>
      <c r="J59" s="13"/>
      <c r="K59" s="13"/>
      <c r="L59" s="13"/>
      <c r="M59" s="13"/>
      <c r="N59" s="13"/>
      <c r="O59" s="13"/>
      <c r="P59" s="13"/>
      <c r="Q59" s="13"/>
      <c r="R59" s="13"/>
      <c r="S59" s="13"/>
      <c r="T59" s="13"/>
      <c r="U59" s="13"/>
      <c r="V59" s="13"/>
      <c r="W59" s="13"/>
      <c r="X59" s="13"/>
    </row>
    <row r="60" spans="3:24" x14ac:dyDescent="0.3">
      <c r="C60" s="13"/>
      <c r="D60" s="13"/>
      <c r="E60" s="13"/>
      <c r="F60" s="13"/>
      <c r="G60" s="13"/>
      <c r="H60" s="13"/>
      <c r="I60" s="13"/>
      <c r="J60" s="13"/>
      <c r="K60" s="13"/>
      <c r="L60" s="13"/>
      <c r="M60" s="13"/>
      <c r="N60" s="13"/>
      <c r="O60" s="13"/>
      <c r="P60" s="13"/>
      <c r="Q60" s="13"/>
      <c r="R60" s="13"/>
      <c r="S60" s="13"/>
      <c r="T60" s="13"/>
      <c r="U60" s="13"/>
      <c r="V60" s="13"/>
      <c r="W60" s="13"/>
      <c r="X60" s="13"/>
    </row>
    <row r="61" spans="3:24" x14ac:dyDescent="0.3">
      <c r="C61" s="13"/>
      <c r="D61" s="13"/>
      <c r="E61" s="13"/>
      <c r="F61" s="13"/>
      <c r="G61" s="13"/>
      <c r="H61" s="13"/>
      <c r="I61" s="13"/>
      <c r="J61" s="13"/>
      <c r="K61" s="13"/>
      <c r="L61" s="13"/>
      <c r="M61" s="13"/>
      <c r="N61" s="13"/>
      <c r="O61" s="13"/>
      <c r="P61" s="13"/>
      <c r="Q61" s="13"/>
      <c r="R61" s="13"/>
      <c r="S61" s="13"/>
      <c r="T61" s="13"/>
      <c r="U61" s="13"/>
      <c r="V61" s="13"/>
      <c r="W61" s="13"/>
      <c r="X61" s="13"/>
    </row>
    <row r="62" spans="3:24" x14ac:dyDescent="0.3">
      <c r="C62" s="13"/>
      <c r="D62" s="13"/>
      <c r="E62" s="13"/>
      <c r="F62" s="13"/>
      <c r="G62" s="13"/>
      <c r="H62" s="13"/>
      <c r="I62" s="13"/>
      <c r="J62" s="13"/>
      <c r="K62" s="13"/>
      <c r="L62" s="13"/>
      <c r="M62" s="13"/>
      <c r="N62" s="13"/>
      <c r="O62" s="13"/>
      <c r="P62" s="13"/>
      <c r="Q62" s="13"/>
      <c r="R62" s="13"/>
      <c r="S62" s="13"/>
      <c r="T62" s="13"/>
      <c r="U62" s="13"/>
      <c r="V62" s="13"/>
      <c r="W62" s="13"/>
      <c r="X62" s="13"/>
    </row>
    <row r="63" spans="3:24" x14ac:dyDescent="0.3">
      <c r="C63" s="13"/>
      <c r="D63" s="13"/>
      <c r="E63" s="13"/>
      <c r="F63" s="13"/>
      <c r="G63" s="13"/>
      <c r="H63" s="13"/>
      <c r="I63" s="13"/>
      <c r="J63" s="13"/>
      <c r="K63" s="13"/>
      <c r="L63" s="13"/>
      <c r="M63" s="13"/>
      <c r="N63" s="13"/>
      <c r="O63" s="13"/>
      <c r="P63" s="13"/>
      <c r="Q63" s="13"/>
      <c r="R63" s="13"/>
      <c r="S63" s="13"/>
      <c r="T63" s="13"/>
      <c r="U63" s="13"/>
      <c r="V63" s="13"/>
      <c r="W63" s="13"/>
      <c r="X63" s="13"/>
    </row>
    <row r="64" spans="3:24" x14ac:dyDescent="0.3">
      <c r="C64" s="13"/>
      <c r="D64" s="13"/>
      <c r="E64" s="13"/>
      <c r="F64" s="13"/>
      <c r="G64" s="13"/>
      <c r="H64" s="13"/>
      <c r="I64" s="13"/>
      <c r="J64" s="13"/>
      <c r="K64" s="13"/>
      <c r="L64" s="13"/>
      <c r="M64" s="13"/>
      <c r="N64" s="13"/>
      <c r="O64" s="13"/>
      <c r="P64" s="13"/>
      <c r="Q64" s="13"/>
      <c r="R64" s="13"/>
      <c r="S64" s="13"/>
      <c r="T64" s="13"/>
      <c r="U64" s="13"/>
      <c r="V64" s="13"/>
      <c r="W64" s="13"/>
      <c r="X64" s="13"/>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18"/>
      <c r="D77" s="18"/>
      <c r="E77" s="18"/>
      <c r="F77" s="18"/>
      <c r="G77" s="18"/>
      <c r="H77" s="18"/>
      <c r="I77" s="18"/>
      <c r="J77" s="18"/>
      <c r="K77" s="18"/>
      <c r="L77" s="18"/>
      <c r="M77" s="18"/>
      <c r="N77" s="18"/>
      <c r="O77" s="18"/>
      <c r="P77" s="18"/>
      <c r="Q77" s="18"/>
      <c r="R77" s="18"/>
      <c r="S77" s="18"/>
      <c r="T77" s="18"/>
      <c r="U77" s="18"/>
      <c r="V77" s="18"/>
      <c r="W77" s="18"/>
      <c r="X77" s="18"/>
    </row>
    <row r="78" spans="3:24" x14ac:dyDescent="0.3">
      <c r="C78" s="18"/>
      <c r="D78" s="18"/>
      <c r="E78" s="18"/>
      <c r="F78" s="18"/>
      <c r="G78" s="18"/>
      <c r="H78" s="18"/>
      <c r="I78" s="18"/>
      <c r="J78" s="18"/>
      <c r="K78" s="18"/>
      <c r="L78" s="18"/>
      <c r="M78" s="18"/>
      <c r="N78" s="18"/>
      <c r="O78" s="18"/>
      <c r="P78" s="18"/>
      <c r="Q78" s="18"/>
      <c r="R78" s="18"/>
      <c r="S78" s="18"/>
      <c r="T78" s="18"/>
      <c r="U78" s="18"/>
      <c r="V78" s="18"/>
      <c r="W78" s="18"/>
      <c r="X78" s="18"/>
    </row>
    <row r="79" spans="3:24" x14ac:dyDescent="0.3">
      <c r="C79" s="18"/>
      <c r="D79" s="18"/>
      <c r="E79" s="18"/>
      <c r="F79" s="18"/>
      <c r="G79" s="18"/>
      <c r="H79" s="18"/>
      <c r="I79" s="18"/>
      <c r="J79" s="18"/>
      <c r="K79" s="18"/>
      <c r="L79" s="18"/>
      <c r="M79" s="18"/>
      <c r="N79" s="18"/>
      <c r="O79" s="18"/>
      <c r="P79" s="18"/>
      <c r="Q79" s="18"/>
      <c r="R79" s="18"/>
      <c r="S79" s="18"/>
      <c r="T79" s="18"/>
      <c r="U79" s="18"/>
      <c r="V79" s="18"/>
      <c r="W79" s="18"/>
      <c r="X79" s="18"/>
    </row>
    <row r="80" spans="3:24" x14ac:dyDescent="0.3">
      <c r="C80" s="18"/>
      <c r="D80" s="18"/>
      <c r="E80" s="18"/>
      <c r="F80" s="18"/>
      <c r="G80" s="18"/>
      <c r="H80" s="18"/>
      <c r="I80" s="18"/>
      <c r="J80" s="18"/>
      <c r="K80" s="18"/>
      <c r="L80" s="18"/>
      <c r="M80" s="18"/>
      <c r="N80" s="18"/>
      <c r="O80" s="18"/>
      <c r="P80" s="18"/>
      <c r="Q80" s="18"/>
      <c r="R80" s="18"/>
      <c r="S80" s="18"/>
      <c r="T80" s="18"/>
      <c r="U80" s="18"/>
      <c r="V80" s="18"/>
      <c r="W80" s="18"/>
      <c r="X80" s="18"/>
    </row>
    <row r="81" spans="3:24" x14ac:dyDescent="0.3">
      <c r="C81" s="18"/>
      <c r="D81" s="18"/>
      <c r="E81" s="18"/>
      <c r="F81" s="18"/>
      <c r="G81" s="18"/>
      <c r="H81" s="18"/>
      <c r="I81" s="18"/>
      <c r="J81" s="18"/>
      <c r="K81" s="18"/>
      <c r="L81" s="18"/>
      <c r="M81" s="18"/>
      <c r="N81" s="18"/>
      <c r="O81" s="18"/>
      <c r="P81" s="18"/>
      <c r="Q81" s="18"/>
      <c r="R81" s="18"/>
      <c r="S81" s="18"/>
      <c r="T81" s="18"/>
      <c r="U81" s="18"/>
      <c r="V81" s="18"/>
      <c r="W81" s="18"/>
      <c r="X81" s="18"/>
    </row>
    <row r="82" spans="3:24" x14ac:dyDescent="0.3">
      <c r="C82" s="18"/>
      <c r="D82" s="18"/>
      <c r="E82" s="18"/>
      <c r="F82" s="18"/>
      <c r="G82" s="18"/>
      <c r="H82" s="18"/>
      <c r="I82" s="18"/>
      <c r="J82" s="18"/>
      <c r="K82" s="18"/>
      <c r="L82" s="18"/>
      <c r="M82" s="18"/>
      <c r="N82" s="18"/>
      <c r="O82" s="18"/>
      <c r="P82" s="18"/>
      <c r="Q82" s="18"/>
      <c r="R82" s="18"/>
      <c r="S82" s="18"/>
      <c r="T82" s="18"/>
      <c r="U82" s="18"/>
      <c r="V82" s="18"/>
      <c r="W82" s="18"/>
      <c r="X82" s="18"/>
    </row>
    <row r="83" spans="3:24" x14ac:dyDescent="0.3">
      <c r="C83" s="18"/>
      <c r="D83" s="18"/>
      <c r="E83" s="18"/>
      <c r="F83" s="18"/>
      <c r="G83" s="18"/>
      <c r="H83" s="18"/>
      <c r="I83" s="18"/>
      <c r="J83" s="18"/>
      <c r="K83" s="18"/>
      <c r="L83" s="18"/>
      <c r="M83" s="18"/>
      <c r="N83" s="18"/>
      <c r="O83" s="18"/>
      <c r="P83" s="18"/>
      <c r="Q83" s="18"/>
      <c r="R83" s="18"/>
      <c r="S83" s="18"/>
      <c r="T83" s="18"/>
      <c r="U83" s="18"/>
      <c r="V83" s="18"/>
      <c r="W83" s="18"/>
      <c r="X83" s="18"/>
    </row>
    <row r="84" spans="3:24" x14ac:dyDescent="0.3">
      <c r="C84" s="18"/>
      <c r="D84" s="18"/>
      <c r="E84" s="18"/>
      <c r="F84" s="18"/>
      <c r="G84" s="18"/>
      <c r="H84" s="18"/>
      <c r="I84" s="18"/>
      <c r="J84" s="18"/>
      <c r="K84" s="18"/>
      <c r="L84" s="18"/>
      <c r="M84" s="18"/>
      <c r="N84" s="18"/>
      <c r="O84" s="18"/>
      <c r="P84" s="18"/>
      <c r="Q84" s="18"/>
      <c r="R84" s="18"/>
      <c r="S84" s="18"/>
      <c r="T84" s="18"/>
      <c r="U84" s="18"/>
      <c r="V84" s="18"/>
      <c r="W84" s="18"/>
      <c r="X84" s="18"/>
    </row>
    <row r="95" spans="3:24" x14ac:dyDescent="0.3">
      <c r="F95" s="13"/>
      <c r="G95" s="13"/>
    </row>
  </sheetData>
  <mergeCells count="7">
    <mergeCell ref="C1:W1"/>
    <mergeCell ref="C2:I2"/>
    <mergeCell ref="D47:J50"/>
    <mergeCell ref="N45:V45"/>
    <mergeCell ref="M18:O21"/>
    <mergeCell ref="M2:X2"/>
    <mergeCell ref="C18:K20"/>
  </mergeCells>
  <dataValidations count="1">
    <dataValidation type="custom" allowBlank="1" showInputMessage="1" showErrorMessage="1" sqref="N5 O5" xr:uid="{DED93975-6BE1-4D13-B5DE-325AF5B64CC9}">
      <formula1>AND(LEN(N5)&gt;2,LEN(N5)&lt;11,NOT(ISNUMBER(--N5)))</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7FB6-E499-4541-A9B2-4EC7521924A6}">
  <sheetPr codeName="Sheet8"/>
  <dimension ref="A1:B7"/>
  <sheetViews>
    <sheetView workbookViewId="0">
      <selection activeCell="G10" activeCellId="1" sqref="G15 G10"/>
    </sheetView>
  </sheetViews>
  <sheetFormatPr defaultRowHeight="14.4" x14ac:dyDescent="0.3"/>
  <sheetData>
    <row r="1" spans="1:2" ht="18" x14ac:dyDescent="0.35">
      <c r="A1" s="14" t="s">
        <v>1545</v>
      </c>
      <c r="B1" s="14" t="s">
        <v>1556</v>
      </c>
    </row>
    <row r="2" spans="1:2" ht="18" x14ac:dyDescent="0.35">
      <c r="A2" s="15" t="s">
        <v>92</v>
      </c>
      <c r="B2" s="16">
        <v>1152105381</v>
      </c>
    </row>
    <row r="3" spans="1:2" ht="18" x14ac:dyDescent="0.35">
      <c r="A3" s="15" t="s">
        <v>84</v>
      </c>
      <c r="B3" s="16">
        <v>1815598681</v>
      </c>
    </row>
    <row r="4" spans="1:2" ht="18" x14ac:dyDescent="0.35">
      <c r="A4" s="15" t="s">
        <v>36</v>
      </c>
      <c r="B4" s="16">
        <v>110724997343</v>
      </c>
    </row>
    <row r="5" spans="1:2" ht="18" x14ac:dyDescent="0.35">
      <c r="A5" s="15" t="s">
        <v>59</v>
      </c>
      <c r="B5" s="16">
        <v>15183054533</v>
      </c>
    </row>
    <row r="6" spans="1:2" ht="18" x14ac:dyDescent="0.35">
      <c r="A6" s="15" t="s">
        <v>43</v>
      </c>
      <c r="B6" s="16">
        <v>4421248180</v>
      </c>
    </row>
    <row r="7" spans="1:2" ht="18" x14ac:dyDescent="0.35">
      <c r="A7" s="15" t="s">
        <v>1557</v>
      </c>
      <c r="B7" s="16">
        <f>Sheet3!C20</f>
        <v>120072369217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KPI</vt:lpstr>
      <vt:lpstr>Sheet3</vt:lpstr>
      <vt:lpstr>Sheet7</vt:lpstr>
      <vt:lpstr>Sheet4</vt:lpstr>
      <vt:lpstr>Security</vt:lpstr>
      <vt:lpstr>Crypto_Dashboard</vt:lpstr>
      <vt:lpstr>Sheet2</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2026-03-09T12:33:39Z</dcterms:modified>
</cp:coreProperties>
</file>