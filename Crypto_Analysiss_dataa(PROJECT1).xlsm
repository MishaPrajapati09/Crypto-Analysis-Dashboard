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9.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D:\"/>
    </mc:Choice>
  </mc:AlternateContent>
  <xr:revisionPtr revIDLastSave="0" documentId="13_ncr:1_{6CB17EE1-DCEF-4B47-B9BA-7F8C3FDEF628}" xr6:coauthVersionLast="47" xr6:coauthVersionMax="47" xr10:uidLastSave="{00000000-0000-0000-0000-000000000000}"/>
  <bookViews>
    <workbookView xWindow="-108" yWindow="-108" windowWidth="23256" windowHeight="12456" activeTab="5" xr2:uid="{00000000-000D-0000-FFFF-FFFF00000000}"/>
  </bookViews>
  <sheets>
    <sheet name="KPI" sheetId="8" r:id="rId1"/>
    <sheet name="Sheet3" sheetId="9" r:id="rId2"/>
    <sheet name="Sheet7" sheetId="19" r:id="rId3"/>
    <sheet name="Sheet4" sheetId="11" r:id="rId4"/>
    <sheet name="Security" sheetId="12" r:id="rId5"/>
    <sheet name="Crypto_Dashboard" sheetId="14" r:id="rId6"/>
    <sheet name="Sheet2" sheetId="20" r:id="rId7"/>
    <sheet name="Cleaned_Data" sheetId="3" r:id="rId8"/>
    <sheet name="Sheet1" sheetId="1" r:id="rId9"/>
  </sheets>
  <definedNames>
    <definedName name="ExternalData_1" localSheetId="7" hidden="1">'Cleaned_Data'!$A$1:$R$196</definedName>
    <definedName name="ExternalData_1" localSheetId="3" hidden="1">Sheet4!$A$1:$R$196</definedName>
    <definedName name="Slicer_Price_Category">#N/A</definedName>
    <definedName name="Slicer_Price_Category___10__10">#N/A</definedName>
    <definedName name="Slicer_Price_Category_0_50__50">#N/A</definedName>
    <definedName name="Slicer_Price_Category_0_50__501">#N/A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20" l="1"/>
  <c r="AB3" i="14"/>
  <c r="AB4" i="14"/>
  <c r="AB6" i="14"/>
  <c r="AB5" i="14"/>
  <c r="N6" i="14"/>
  <c r="L56" i="9"/>
  <c r="O10" i="14"/>
  <c r="N10" i="14"/>
  <c r="O9" i="14"/>
  <c r="O8" i="14"/>
  <c r="N9" i="14"/>
  <c r="N8" i="14"/>
  <c r="O7" i="14"/>
  <c r="N7" i="14"/>
  <c r="O6" i="14"/>
  <c r="E8" i="8"/>
  <c r="E4" i="8"/>
  <c r="C20" i="9" a="1"/>
  <c r="C20" i="9" s="1"/>
  <c r="E7" i="8"/>
  <c r="E6" i="8"/>
  <c r="E5" i="8"/>
  <c r="T1" i="3"/>
  <c r="B25"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A1D4D25-C503-475A-B5A6-DAC1107718A8}" keepAlive="1" name="Query - Cleaned_Data" description="Connection to the 'Cleaned_Data' query in the workbook." type="5" refreshedVersion="8" background="1" saveData="1">
    <dbPr connection="Provider=Microsoft.Mashup.OleDb.1;Data Source=$Workbook$;Location=Cleaned_Data;Extended Properties=&quot;&quot;" command="SELECT * FROM [Cleaned_Data]"/>
  </connection>
  <connection id="2" xr16:uid="{E5FC0919-8650-4FB6-B0DB-787C9836990A}" keepAlive="1" name="Query - Cleaned_Data (2)" description="Connection to the 'Cleaned_Data (2)' query in the workbook." type="5" refreshedVersion="8" background="1" saveData="1">
    <dbPr connection="Provider=Microsoft.Mashup.OleDb.1;Data Source=$Workbook$;Location=&quot;Cleaned_Data (2)&quot;;Extended Properties=&quot;&quot;" command="SELECT * FROM [Cleaned_Data (2)]"/>
  </connection>
  <connection id="3" xr16:uid="{A578FB6C-D90D-47FA-A0E3-3F02B1BFF016}" keepAlive="1" name="Query - Sheet1" description="Connection to the 'Sheet1' query in the workbook." type="5" refreshedVersion="0" background="1">
    <dbPr connection="Provider=Microsoft.Mashup.OleDb.1;Data Source=$Workbook$;Location=Sheet1;Extended Properties=&quot;&quot;" command="SELECT * FROM [Sheet1]"/>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<sst xmlns="http://schemas.openxmlformats.org/spreadsheetml/2006/main" count="4405" uniqueCount="1571">
  <si>
    <t>Coin Name</t>
  </si>
  <si>
    <t>Symbol</t>
  </si>
  <si>
    <t>Price (USD)</t>
  </si>
  <si>
    <t>1h change(%)</t>
  </si>
  <si>
    <t>24h change(%)</t>
  </si>
  <si>
    <t>7d change(%)</t>
  </si>
  <si>
    <t>Market Cap</t>
  </si>
  <si>
    <t>volume (24h) USD</t>
  </si>
  <si>
    <t>Circulating Supply</t>
  </si>
  <si>
    <t>CoinMarketCap 20 Index DTF</t>
  </si>
  <si>
    <t>CMC20</t>
  </si>
  <si>
    <t>$140.76</t>
  </si>
  <si>
    <t>0.09%</t>
  </si>
  <si>
    <t>5.06%</t>
  </si>
  <si>
    <t>2.28%</t>
  </si>
  <si>
    <t>$13,574,565</t>
  </si>
  <si>
    <t>$3,353,947</t>
  </si>
  <si>
    <t>96.43K</t>
  </si>
  <si>
    <t>Bitcoin</t>
  </si>
  <si>
    <t>BTC</t>
  </si>
  <si>
    <t>$68,106.12</t>
  </si>
  <si>
    <t>0.03%</t>
  </si>
  <si>
    <t>4.24%</t>
  </si>
  <si>
    <t>1.86%</t>
  </si>
  <si>
    <t>$1,360,805,946,728</t>
  </si>
  <si>
    <t>$55,110,655,820</t>
  </si>
  <si>
    <t>19.99M</t>
  </si>
  <si>
    <t>Ethereum</t>
  </si>
  <si>
    <t>ETH</t>
  </si>
  <si>
    <t>$2,049.58</t>
  </si>
  <si>
    <t>0.60%</t>
  </si>
  <si>
    <t>7.82%</t>
  </si>
  <si>
    <t>4.13%</t>
  </si>
  <si>
    <t>$247,415,190,680</t>
  </si>
  <si>
    <t>$31,027,611,819</t>
  </si>
  <si>
    <t>120.69M</t>
  </si>
  <si>
    <t>Tether</t>
  </si>
  <si>
    <t>USDT</t>
  </si>
  <si>
    <t>$1.00</t>
  </si>
  <si>
    <t>0.04%</t>
  </si>
  <si>
    <t>$183,724,100,800</t>
  </si>
  <si>
    <t>$110,724,997,343</t>
  </si>
  <si>
    <t>183.62B</t>
  </si>
  <si>
    <t>XRP</t>
  </si>
  <si>
    <t>$1.43</t>
  </si>
  <si>
    <t>0.08%</t>
  </si>
  <si>
    <t>5.40%</t>
  </si>
  <si>
    <t>1.55%</t>
  </si>
  <si>
    <t>$87,861,851,726</t>
  </si>
  <si>
    <t>$4,421,248,180</t>
  </si>
  <si>
    <t>61.01B</t>
  </si>
  <si>
    <t>BNB</t>
  </si>
  <si>
    <t>$627.83</t>
  </si>
  <si>
    <t>0.02%</t>
  </si>
  <si>
    <t>4.88%</t>
  </si>
  <si>
    <t>3.52%</t>
  </si>
  <si>
    <t>$85,612,918,351</t>
  </si>
  <si>
    <t>$2,701,737,108</t>
  </si>
  <si>
    <t>136.35M</t>
  </si>
  <si>
    <t>USDC</t>
  </si>
  <si>
    <t>$0.9999</t>
  </si>
  <si>
    <t>0.01%</t>
  </si>
  <si>
    <t>0.00%</t>
  </si>
  <si>
    <t>$75,395,300,759</t>
  </si>
  <si>
    <t>$15,183,054,533</t>
  </si>
  <si>
    <t>75.39B</t>
  </si>
  <si>
    <t>Solana</t>
  </si>
  <si>
    <t>SOL</t>
  </si>
  <si>
    <t>$87.62</t>
  </si>
  <si>
    <t>0.10%</t>
  </si>
  <si>
    <t>6.36%</t>
  </si>
  <si>
    <t>7.18%</t>
  </si>
  <si>
    <t>$49,837,071,658</t>
  </si>
  <si>
    <t>$5,785,658,485</t>
  </si>
  <si>
    <t>568.75M</t>
  </si>
  <si>
    <t>TRON</t>
  </si>
  <si>
    <t>TRX</t>
  </si>
  <si>
    <t>$0.2864</t>
  </si>
  <si>
    <t>0.11%</t>
  </si>
  <si>
    <t>0.14%</t>
  </si>
  <si>
    <t>2.49%</t>
  </si>
  <si>
    <t>$27,139,431,961</t>
  </si>
  <si>
    <t>$581,889,677</t>
  </si>
  <si>
    <t>94.73B</t>
  </si>
  <si>
    <t>Dogecoin</t>
  </si>
  <si>
    <t>DOGE</t>
  </si>
  <si>
    <t>$0.09996</t>
  </si>
  <si>
    <t>7.45%</t>
  </si>
  <si>
    <t>2.51%</t>
  </si>
  <si>
    <t>$16,883,804,678</t>
  </si>
  <si>
    <t>$1,815,598,681</t>
  </si>
  <si>
    <t>168.89B</t>
  </si>
  <si>
    <t>Cardano</t>
  </si>
  <si>
    <t>ADA</t>
  </si>
  <si>
    <t>$0.2941</t>
  </si>
  <si>
    <t>0.23%</t>
  </si>
  <si>
    <t>10.18%</t>
  </si>
  <si>
    <t>7.25%</t>
  </si>
  <si>
    <t>$10,610,886,354</t>
  </si>
  <si>
    <t>$1,152,105,381</t>
  </si>
  <si>
    <t>36.07B</t>
  </si>
  <si>
    <t>Bitcoin Cash</t>
  </si>
  <si>
    <t>BCH</t>
  </si>
  <si>
    <t>$501.72</t>
  </si>
  <si>
    <t>2.13%</t>
  </si>
  <si>
    <t>9.89%</t>
  </si>
  <si>
    <t>$10,034,569,282</t>
  </si>
  <si>
    <t>$523,884,913</t>
  </si>
  <si>
    <t>20M</t>
  </si>
  <si>
    <t>UNUS SED LEO</t>
  </si>
  <si>
    <t>LEO</t>
  </si>
  <si>
    <t>$8.79</t>
  </si>
  <si>
    <t>0.06%</t>
  </si>
  <si>
    <t>0.92%</t>
  </si>
  <si>
    <t>1.63%</t>
  </si>
  <si>
    <t>$8,104,381,104</t>
  </si>
  <si>
    <t>$1,307,623</t>
  </si>
  <si>
    <t>921.28M</t>
  </si>
  <si>
    <t>Hyperliquid</t>
  </si>
  <si>
    <t>HYPE</t>
  </si>
  <si>
    <t>$28.21</t>
  </si>
  <si>
    <t>0.78%</t>
  </si>
  <si>
    <t>4.64%</t>
  </si>
  <si>
    <t>2.63%</t>
  </si>
  <si>
    <t>$7,294,386,483</t>
  </si>
  <si>
    <t>$350,216,993</t>
  </si>
  <si>
    <t>258.49M</t>
  </si>
  <si>
    <t>Canton</t>
  </si>
  <si>
    <t>CC</t>
  </si>
  <si>
    <t>$0.1747</t>
  </si>
  <si>
    <t>8.29%</t>
  </si>
  <si>
    <t>8.54%</t>
  </si>
  <si>
    <t>$6,610,489,368</t>
  </si>
  <si>
    <t>$21,576,106</t>
  </si>
  <si>
    <t>37.82B</t>
  </si>
  <si>
    <t>Humanity Protocol</t>
  </si>
  <si>
    <t>H</t>
  </si>
  <si>
    <t>$0.1356</t>
  </si>
  <si>
    <t>0.47%</t>
  </si>
  <si>
    <t>0.17%</t>
  </si>
  <si>
    <t>16.00%</t>
  </si>
  <si>
    <t>$341,297,819</t>
  </si>
  <si>
    <t>$63,602,498</t>
  </si>
  <si>
    <t>2.51B</t>
  </si>
  <si>
    <t>Immutable</t>
  </si>
  <si>
    <t>IMX</t>
  </si>
  <si>
    <t>$0.1708</t>
  </si>
  <si>
    <t>0.28%</t>
  </si>
  <si>
    <t>4.00%</t>
  </si>
  <si>
    <t>7.24%</t>
  </si>
  <si>
    <t>$339,872,692</t>
  </si>
  <si>
    <t>$26,642,835</t>
  </si>
  <si>
    <t>1.98B</t>
  </si>
  <si>
    <t>BitTorrent [New]</t>
  </si>
  <si>
    <t>BTT</t>
  </si>
  <si>
    <t>$0.063391</t>
  </si>
  <si>
    <t>0.42%</t>
  </si>
  <si>
    <t>2.59%</t>
  </si>
  <si>
    <t>0.32%</t>
  </si>
  <si>
    <t>$334,749,920</t>
  </si>
  <si>
    <t>$8,592,532</t>
  </si>
  <si>
    <t>987.03T</t>
  </si>
  <si>
    <t>AINFT</t>
  </si>
  <si>
    <t>NFT</t>
  </si>
  <si>
    <t>$0.063346</t>
  </si>
  <si>
    <t>0.51%</t>
  </si>
  <si>
    <t>2.75%</t>
  </si>
  <si>
    <t>$331,302,147</t>
  </si>
  <si>
    <t>$12,609,835</t>
  </si>
  <si>
    <t>990.1T</t>
  </si>
  <si>
    <t>Bitcoin SV</t>
  </si>
  <si>
    <t>BSV</t>
  </si>
  <si>
    <t>$16.36</t>
  </si>
  <si>
    <t>0.34%</t>
  </si>
  <si>
    <t>2.54%</t>
  </si>
  <si>
    <t>0.43%</t>
  </si>
  <si>
    <t>$327,163,655</t>
  </si>
  <si>
    <t>$16,123,513</t>
  </si>
  <si>
    <t>Injective</t>
  </si>
  <si>
    <t>INJ</t>
  </si>
  <si>
    <t>$3.22</t>
  </si>
  <si>
    <t>0.24%</t>
  </si>
  <si>
    <t>1.60%</t>
  </si>
  <si>
    <t>0.68%</t>
  </si>
  <si>
    <t>$322,213,239</t>
  </si>
  <si>
    <t>$73,524,284</t>
  </si>
  <si>
    <t>99.97M</t>
  </si>
  <si>
    <t>Sun [New]</t>
  </si>
  <si>
    <t>SUN</t>
  </si>
  <si>
    <t>$0.01624</t>
  </si>
  <si>
    <t>0.15%</t>
  </si>
  <si>
    <t>1.49%</t>
  </si>
  <si>
    <t>5.42%</t>
  </si>
  <si>
    <t>$312,185,854</t>
  </si>
  <si>
    <t>$29,525,336</t>
  </si>
  <si>
    <t>19.21B</t>
  </si>
  <si>
    <t>SPX6900</t>
  </si>
  <si>
    <t>SPX</t>
  </si>
  <si>
    <t>$0.3283</t>
  </si>
  <si>
    <t>0.86%</t>
  </si>
  <si>
    <t>9.66%</t>
  </si>
  <si>
    <t>$305,653,216</t>
  </si>
  <si>
    <t>$15,906,961</t>
  </si>
  <si>
    <t>930.99M</t>
  </si>
  <si>
    <t>Pyth Network</t>
  </si>
  <si>
    <t>PYTH</t>
  </si>
  <si>
    <t>$0.05303</t>
  </si>
  <si>
    <t>0.40%</t>
  </si>
  <si>
    <t>2.06%</t>
  </si>
  <si>
    <t>0.44%</t>
  </si>
  <si>
    <t>$304,948,024</t>
  </si>
  <si>
    <t>$17,447,300</t>
  </si>
  <si>
    <t>5.74B</t>
  </si>
  <si>
    <t>Celestia</t>
  </si>
  <si>
    <t>TIA</t>
  </si>
  <si>
    <t>$0.3432</t>
  </si>
  <si>
    <t>10.73%</t>
  </si>
  <si>
    <t>6.75%</t>
  </si>
  <si>
    <t>$303,665,906</t>
  </si>
  <si>
    <t>$92,107,325</t>
  </si>
  <si>
    <t>884.79M</t>
  </si>
  <si>
    <t>IOTA</t>
  </si>
  <si>
    <t>$0.07047</t>
  </si>
  <si>
    <t>0.33%</t>
  </si>
  <si>
    <t>5.34%</t>
  </si>
  <si>
    <t>4.48%</t>
  </si>
  <si>
    <t>$303,552,701</t>
  </si>
  <si>
    <t>$15,048,737</t>
  </si>
  <si>
    <t>4.3B</t>
  </si>
  <si>
    <t>JasmyCoin</t>
  </si>
  <si>
    <t>JASMY</t>
  </si>
  <si>
    <t>$0.006050</t>
  </si>
  <si>
    <t>6.18%</t>
  </si>
  <si>
    <t>5.50%</t>
  </si>
  <si>
    <t>$299,162,734</t>
  </si>
  <si>
    <t>$24,070,695</t>
  </si>
  <si>
    <t>49.44B</t>
  </si>
  <si>
    <t>DeXe</t>
  </si>
  <si>
    <t>DEXE</t>
  </si>
  <si>
    <t>$3.54</t>
  </si>
  <si>
    <t>3.70%</t>
  </si>
  <si>
    <t>58.04%</t>
  </si>
  <si>
    <t>$297,004,021</t>
  </si>
  <si>
    <t>$17,442,756</t>
  </si>
  <si>
    <t>83.73M</t>
  </si>
  <si>
    <t>The Graph</t>
  </si>
  <si>
    <t>GRT</t>
  </si>
  <si>
    <t>$0.02729</t>
  </si>
  <si>
    <t>4.58%</t>
  </si>
  <si>
    <t>2.50%</t>
  </si>
  <si>
    <t>$292,892,937</t>
  </si>
  <si>
    <t>$29,024,082</t>
  </si>
  <si>
    <t>10.72B</t>
  </si>
  <si>
    <t>FLOKI</t>
  </si>
  <si>
    <t>$0.00002997</t>
  </si>
  <si>
    <t>0.27%</t>
  </si>
  <si>
    <t>5.24%</t>
  </si>
  <si>
    <t>0.91%</t>
  </si>
  <si>
    <t>$285,958,962</t>
  </si>
  <si>
    <t>$55,793,722</t>
  </si>
  <si>
    <t>9.53T</t>
  </si>
  <si>
    <t>Rain</t>
  </si>
  <si>
    <t>RAIN</t>
  </si>
  <si>
    <t>$0.009516</t>
  </si>
  <si>
    <t>0.18%</t>
  </si>
  <si>
    <t>0.70%</t>
  </si>
  <si>
    <t>$4,548,337,203</t>
  </si>
  <si>
    <t>$33,714,759</t>
  </si>
  <si>
    <t>477.92B</t>
  </si>
  <si>
    <t>Falcon USD</t>
  </si>
  <si>
    <t>USDf</t>
  </si>
  <si>
    <t>$0.9974</t>
  </si>
  <si>
    <t>0.07%</t>
  </si>
  <si>
    <t>$1,637,470,973</t>
  </si>
  <si>
    <t>$2,607,510</t>
  </si>
  <si>
    <t>1.64B</t>
  </si>
  <si>
    <t>Jupiter Perps LP</t>
  </si>
  <si>
    <t>JLP</t>
  </si>
  <si>
    <t>$3.74</t>
  </si>
  <si>
    <t>0.13%</t>
  </si>
  <si>
    <t>4.03%</t>
  </si>
  <si>
    <t>4.10%</t>
  </si>
  <si>
    <t>$1,138,786,327</t>
  </si>
  <si>
    <t>$18,938,750</t>
  </si>
  <si>
    <t>303.78M</t>
  </si>
  <si>
    <t>Ondo US Dollar Yield</t>
  </si>
  <si>
    <t>USDY</t>
  </si>
  <si>
    <t>$1.12</t>
  </si>
  <si>
    <t>0.05%</t>
  </si>
  <si>
    <t>1.14%</t>
  </si>
  <si>
    <t>1.39%</t>
  </si>
  <si>
    <t>$712,356,590</t>
  </si>
  <si>
    <t>$340,607</t>
  </si>
  <si>
    <t>633.42M</t>
  </si>
  <si>
    <t>Beldex</t>
  </si>
  <si>
    <t>BDX</t>
  </si>
  <si>
    <t>$0.08029</t>
  </si>
  <si>
    <t>$610,730,165</t>
  </si>
  <si>
    <t>$13,536,428</t>
  </si>
  <si>
    <t>7.6B</t>
  </si>
  <si>
    <t>Matr1x</t>
  </si>
  <si>
    <t>MAX</t>
  </si>
  <si>
    <t>$4.39</t>
  </si>
  <si>
    <t>4.72%</t>
  </si>
  <si>
    <t>52539.43%</t>
  </si>
  <si>
    <t>36357.89%</t>
  </si>
  <si>
    <t>$574,232,075</t>
  </si>
  <si>
    <t>$7,395</t>
  </si>
  <si>
    <t>130.52M</t>
  </si>
  <si>
    <t>Usual USD</t>
  </si>
  <si>
    <t>USD0</t>
  </si>
  <si>
    <t>$0.9985</t>
  </si>
  <si>
    <t>$573,008,942</t>
  </si>
  <si>
    <t>$1,859,478</t>
  </si>
  <si>
    <t>573.81M</t>
  </si>
  <si>
    <t>GHO</t>
  </si>
  <si>
    <t>$527,528,553</t>
  </si>
  <si>
    <t>$665,721</t>
  </si>
  <si>
    <t>527.43M</t>
  </si>
  <si>
    <t>USDai</t>
  </si>
  <si>
    <t>USDAI</t>
  </si>
  <si>
    <t>$501,506,769</t>
  </si>
  <si>
    <t>$279,495</t>
  </si>
  <si>
    <t>501.35M</t>
  </si>
  <si>
    <t>Fasttoken</t>
  </si>
  <si>
    <t>FTN</t>
  </si>
  <si>
    <t>$1.09</t>
  </si>
  <si>
    <t>0.22%</t>
  </si>
  <si>
    <t>0.19%</t>
  </si>
  <si>
    <t>$476,025,407</t>
  </si>
  <si>
    <t>$64,269</t>
  </si>
  <si>
    <t>436.26M</t>
  </si>
  <si>
    <t>c8ntinuum</t>
  </si>
  <si>
    <t>CTM</t>
  </si>
  <si>
    <t>$0.08486</t>
  </si>
  <si>
    <t>0.64%</t>
  </si>
  <si>
    <t>6.32%</t>
  </si>
  <si>
    <t>2.30%</t>
  </si>
  <si>
    <t>$369,982,619</t>
  </si>
  <si>
    <t>$1,036,052</t>
  </si>
  <si>
    <t>4.35B</t>
  </si>
  <si>
    <t>siren</t>
  </si>
  <si>
    <t>SIREN</t>
  </si>
  <si>
    <t>$0.4630</t>
  </si>
  <si>
    <t>5.31%</t>
  </si>
  <si>
    <t>23.82%</t>
  </si>
  <si>
    <t>116.62%</t>
  </si>
  <si>
    <t>$337,489,922</t>
  </si>
  <si>
    <t>$39,328,010</t>
  </si>
  <si>
    <t>728.85M</t>
  </si>
  <si>
    <t>Power Protocol</t>
  </si>
  <si>
    <t>POWER</t>
  </si>
  <si>
    <t>$1.63</t>
  </si>
  <si>
    <t>47.51%</t>
  </si>
  <si>
    <t>127.67%</t>
  </si>
  <si>
    <t>360.73%</t>
  </si>
  <si>
    <t>$342,710,100</t>
  </si>
  <si>
    <t>$55,522,502</t>
  </si>
  <si>
    <t>210M</t>
  </si>
  <si>
    <t>Ducky</t>
  </si>
  <si>
    <t>DUCKY</t>
  </si>
  <si>
    <t>$0.0006827</t>
  </si>
  <si>
    <t>4.50%</t>
  </si>
  <si>
    <t>7485.45%</t>
  </si>
  <si>
    <t>$282,921,577</t>
  </si>
  <si>
    <t>$222,756</t>
  </si>
  <si>
    <t>414.4B</t>
  </si>
  <si>
    <t>Peanut</t>
  </si>
  <si>
    <t>PEANUT</t>
  </si>
  <si>
    <t>4.52%</t>
  </si>
  <si>
    <t>6521.09%</t>
  </si>
  <si>
    <t>$279,559,451</t>
  </si>
  <si>
    <t>$189,595</t>
  </si>
  <si>
    <t>409.45B</t>
  </si>
  <si>
    <t>Holo</t>
  </si>
  <si>
    <t>HOT</t>
  </si>
  <si>
    <t>$0.0003841</t>
  </si>
  <si>
    <t>0.87%</t>
  </si>
  <si>
    <t>0.46%</t>
  </si>
  <si>
    <t>$67,412,259</t>
  </si>
  <si>
    <t>$7,376,719</t>
  </si>
  <si>
    <t>175.47B</t>
  </si>
  <si>
    <t>ZetaChain</t>
  </si>
  <si>
    <t>ZETA</t>
  </si>
  <si>
    <t>$0.05312</t>
  </si>
  <si>
    <t>4.28%</t>
  </si>
  <si>
    <t>3.13%</t>
  </si>
  <si>
    <t>$67,287,158</t>
  </si>
  <si>
    <t>$16,253,160</t>
  </si>
  <si>
    <t>1.26B</t>
  </si>
  <si>
    <t>VVS Finance</t>
  </si>
  <si>
    <t>VVS</t>
  </si>
  <si>
    <t>$0.051527</t>
  </si>
  <si>
    <t>3.44%</t>
  </si>
  <si>
    <t>$66,523,252</t>
  </si>
  <si>
    <t>$249,720</t>
  </si>
  <si>
    <t>43.55T</t>
  </si>
  <si>
    <t>Mog Coin</t>
  </si>
  <si>
    <t>MOG</t>
  </si>
  <si>
    <t>$0.061699</t>
  </si>
  <si>
    <t>0.12%</t>
  </si>
  <si>
    <t>5.61%</t>
  </si>
  <si>
    <t>$66,358,856</t>
  </si>
  <si>
    <t>$11,239,166</t>
  </si>
  <si>
    <t>390.56T</t>
  </si>
  <si>
    <t>USDH</t>
  </si>
  <si>
    <t>$66,318,972</t>
  </si>
  <si>
    <t>$8,227,692</t>
  </si>
  <si>
    <t>66.3M</t>
  </si>
  <si>
    <t>U.S. Dollar Tokenized Currency (Ondo)</t>
  </si>
  <si>
    <t>USDon</t>
  </si>
  <si>
    <t>$66,250,542</t>
  </si>
  <si>
    <t>$47,907,803</t>
  </si>
  <si>
    <t>66.24M</t>
  </si>
  <si>
    <t>Moca Network</t>
  </si>
  <si>
    <t>MOCA</t>
  </si>
  <si>
    <t>$0.01648</t>
  </si>
  <si>
    <t>1.93%</t>
  </si>
  <si>
    <t>4.76%</t>
  </si>
  <si>
    <t>$65,148,258</t>
  </si>
  <si>
    <t>$4,597,098</t>
  </si>
  <si>
    <t>3.95B</t>
  </si>
  <si>
    <t>aelf</t>
  </si>
  <si>
    <t>ELF</t>
  </si>
  <si>
    <t>$0.07903</t>
  </si>
  <si>
    <t>3.90%</t>
  </si>
  <si>
    <t>1.84%</t>
  </si>
  <si>
    <t>$64,721,062</t>
  </si>
  <si>
    <t>$1,528,366</t>
  </si>
  <si>
    <t>818.92M</t>
  </si>
  <si>
    <t>Frax (prev. FXS)</t>
  </si>
  <si>
    <t>FRAX</t>
  </si>
  <si>
    <t>$0.6769</t>
  </si>
  <si>
    <t>6.09%</t>
  </si>
  <si>
    <t>$64,206,456</t>
  </si>
  <si>
    <t>$3,410,461</t>
  </si>
  <si>
    <t>94.84M</t>
  </si>
  <si>
    <t>Axelar</t>
  </si>
  <si>
    <t>AXL</t>
  </si>
  <si>
    <t>$0.05678</t>
  </si>
  <si>
    <t>0.82%</t>
  </si>
  <si>
    <t>6.64%</t>
  </si>
  <si>
    <t>0.25%</t>
  </si>
  <si>
    <t>$63,975,920</t>
  </si>
  <si>
    <t>$122,933,355</t>
  </si>
  <si>
    <t>1.12B</t>
  </si>
  <si>
    <t>Astar</t>
  </si>
  <si>
    <t>ASTR</t>
  </si>
  <si>
    <t>$0.007454</t>
  </si>
  <si>
    <t>0.26%</t>
  </si>
  <si>
    <t>3.39%</t>
  </si>
  <si>
    <t>$63,771,015</t>
  </si>
  <si>
    <t>$3,647,690</t>
  </si>
  <si>
    <t>8.55B</t>
  </si>
  <si>
    <t>Qubic</t>
  </si>
  <si>
    <t>QUBIC</t>
  </si>
  <si>
    <t>$0.064699</t>
  </si>
  <si>
    <t>2.88%</t>
  </si>
  <si>
    <t>1.61%</t>
  </si>
  <si>
    <t>$63,587,656</t>
  </si>
  <si>
    <t>$1,574,497</t>
  </si>
  <si>
    <t>135.32T</t>
  </si>
  <si>
    <t>XPR Network</t>
  </si>
  <si>
    <t>XPR</t>
  </si>
  <si>
    <t>$0.002227</t>
  </si>
  <si>
    <t>2.03%</t>
  </si>
  <si>
    <t>4.43%</t>
  </si>
  <si>
    <t>3.09%</t>
  </si>
  <si>
    <t>$63,553,814</t>
  </si>
  <si>
    <t>$1,679,635</t>
  </si>
  <si>
    <t>28.53B</t>
  </si>
  <si>
    <t>Paycoin</t>
  </si>
  <si>
    <t>PCI</t>
  </si>
  <si>
    <t>$0.05969</t>
  </si>
  <si>
    <t>0.21%</t>
  </si>
  <si>
    <t>0.50%</t>
  </si>
  <si>
    <t>0.38%</t>
  </si>
  <si>
    <t>$63,465,177</t>
  </si>
  <si>
    <t>$666,707</t>
  </si>
  <si>
    <t>1.06B</t>
  </si>
  <si>
    <t>HashKey Platform Token</t>
  </si>
  <si>
    <t>HSK</t>
  </si>
  <si>
    <t>$0.1820</t>
  </si>
  <si>
    <t>0.20%</t>
  </si>
  <si>
    <t>17.98%</t>
  </si>
  <si>
    <t>18.39%</t>
  </si>
  <si>
    <t>$62,798,256</t>
  </si>
  <si>
    <t>$8,207,139</t>
  </si>
  <si>
    <t>344.96M</t>
  </si>
  <si>
    <t>Particle Network</t>
  </si>
  <si>
    <t>PARTI</t>
  </si>
  <si>
    <t>$0.1002</t>
  </si>
  <si>
    <t>0.58%</t>
  </si>
  <si>
    <t>8.84%</t>
  </si>
  <si>
    <t>$45,056,505</t>
  </si>
  <si>
    <t>$16,413,277</t>
  </si>
  <si>
    <t>449.64M</t>
  </si>
  <si>
    <t>Casper</t>
  </si>
  <si>
    <t>CSPR</t>
  </si>
  <si>
    <t>$0.003243</t>
  </si>
  <si>
    <t>0.76%</t>
  </si>
  <si>
    <t>3.63%</t>
  </si>
  <si>
    <t>$45,044,480</t>
  </si>
  <si>
    <t>$1,438,190</t>
  </si>
  <si>
    <t>13.88B</t>
  </si>
  <si>
    <t>Ardor</t>
  </si>
  <si>
    <t>ARDR</t>
  </si>
  <si>
    <t>$0.04504</t>
  </si>
  <si>
    <t>4.94%</t>
  </si>
  <si>
    <t>0.79%</t>
  </si>
  <si>
    <t>$44,978,557</t>
  </si>
  <si>
    <t>$2,473,455</t>
  </si>
  <si>
    <t>998.46M</t>
  </si>
  <si>
    <t>Irys</t>
  </si>
  <si>
    <t>IRYS</t>
  </si>
  <si>
    <t>$0.02043</t>
  </si>
  <si>
    <t>7.29%</t>
  </si>
  <si>
    <t>17.29%</t>
  </si>
  <si>
    <t>$44,759,905</t>
  </si>
  <si>
    <t>$9,264,254</t>
  </si>
  <si>
    <t>2.18B</t>
  </si>
  <si>
    <t>Fractal Bitcoin</t>
  </si>
  <si>
    <t>FB</t>
  </si>
  <si>
    <t>$0.4631</t>
  </si>
  <si>
    <t>1.50%</t>
  </si>
  <si>
    <t>6.00%</t>
  </si>
  <si>
    <t>$44,603,782</t>
  </si>
  <si>
    <t>$2,534,819</t>
  </si>
  <si>
    <t>96.31M</t>
  </si>
  <si>
    <t>Vana</t>
  </si>
  <si>
    <t>VANA</t>
  </si>
  <si>
    <t>$1.48</t>
  </si>
  <si>
    <t>1.92%</t>
  </si>
  <si>
    <t>5.63%</t>
  </si>
  <si>
    <t>$44,588,598</t>
  </si>
  <si>
    <t>$5,921,669</t>
  </si>
  <si>
    <t>30.08M</t>
  </si>
  <si>
    <t>Rocket Pool</t>
  </si>
  <si>
    <t>RPL</t>
  </si>
  <si>
    <t>$2.00</t>
  </si>
  <si>
    <t>1.24%</t>
  </si>
  <si>
    <t>1.79%</t>
  </si>
  <si>
    <t>14.92%</t>
  </si>
  <si>
    <t>$44,476,085</t>
  </si>
  <si>
    <t>$6,949,561</t>
  </si>
  <si>
    <t>22.2M</t>
  </si>
  <si>
    <t>Polymesh</t>
  </si>
  <si>
    <t>POLYX</t>
  </si>
  <si>
    <t>$0.04328</t>
  </si>
  <si>
    <t>3.17%</t>
  </si>
  <si>
    <t>$44,476,314</t>
  </si>
  <si>
    <t>$1,732,389</t>
  </si>
  <si>
    <t>1.02B</t>
  </si>
  <si>
    <t>Orbs</t>
  </si>
  <si>
    <t>ORBS</t>
  </si>
  <si>
    <t>$0.01015</t>
  </si>
  <si>
    <t>1.91%</t>
  </si>
  <si>
    <t>$44,295,362</t>
  </si>
  <si>
    <t>$6,845,123</t>
  </si>
  <si>
    <t>4.36B</t>
  </si>
  <si>
    <t>ChangeNOW Token</t>
  </si>
  <si>
    <t>NOW</t>
  </si>
  <si>
    <t>$0.5222</t>
  </si>
  <si>
    <t>0.95%</t>
  </si>
  <si>
    <t>8.14%</t>
  </si>
  <si>
    <t>3.27%</t>
  </si>
  <si>
    <t>$44,286,170</t>
  </si>
  <si>
    <t>$13,715</t>
  </si>
  <si>
    <t>84.8M</t>
  </si>
  <si>
    <t>Gemini Dollar</t>
  </si>
  <si>
    <t>GUSD</t>
  </si>
  <si>
    <t>$0.9998</t>
  </si>
  <si>
    <t>$44,116,467</t>
  </si>
  <si>
    <t>$1,155,229</t>
  </si>
  <si>
    <t>44.12M</t>
  </si>
  <si>
    <t>AI Analysis Token</t>
  </si>
  <si>
    <t>AIAT</t>
  </si>
  <si>
    <t>$0.3006</t>
  </si>
  <si>
    <t>1.94%</t>
  </si>
  <si>
    <t>$44,012,989</t>
  </si>
  <si>
    <t>$373,796</t>
  </si>
  <si>
    <t>146.38M</t>
  </si>
  <si>
    <t>Mask Network</t>
  </si>
  <si>
    <t>MASK</t>
  </si>
  <si>
    <t>$0.4397</t>
  </si>
  <si>
    <t>0.77%</t>
  </si>
  <si>
    <t>4.18%</t>
  </si>
  <si>
    <t>1.00%</t>
  </si>
  <si>
    <t>$43,972,356</t>
  </si>
  <si>
    <t>$17,237,868</t>
  </si>
  <si>
    <t>100M</t>
  </si>
  <si>
    <t>Sahara AI</t>
  </si>
  <si>
    <t>SAHARA</t>
  </si>
  <si>
    <t>$0.01510</t>
  </si>
  <si>
    <t>2.89%</t>
  </si>
  <si>
    <t>$43,933,931</t>
  </si>
  <si>
    <t>$9,212,633</t>
  </si>
  <si>
    <t>2.9B</t>
  </si>
  <si>
    <t>ApeX Protocol</t>
  </si>
  <si>
    <t>APEX</t>
  </si>
  <si>
    <t>$0.3182</t>
  </si>
  <si>
    <t>5.09%</t>
  </si>
  <si>
    <t>$43,765,925</t>
  </si>
  <si>
    <t>$3,003,343</t>
  </si>
  <si>
    <t>137.51M</t>
  </si>
  <si>
    <t>io.net</t>
  </si>
  <si>
    <t>IO</t>
  </si>
  <si>
    <t>$0.1163</t>
  </si>
  <si>
    <t>0.69%</t>
  </si>
  <si>
    <t>3.36%</t>
  </si>
  <si>
    <t>6.99%</t>
  </si>
  <si>
    <t>$33,187,400</t>
  </si>
  <si>
    <t>$11,031,512</t>
  </si>
  <si>
    <t>285.31M</t>
  </si>
  <si>
    <t>Gold tokenized ETF (xStock)</t>
  </si>
  <si>
    <t>GLDX</t>
  </si>
  <si>
    <t>$475.30</t>
  </si>
  <si>
    <t>3.76%</t>
  </si>
  <si>
    <t>$33,059,911</t>
  </si>
  <si>
    <t>$475,440</t>
  </si>
  <si>
    <t>69.55K</t>
  </si>
  <si>
    <t>Shentu</t>
  </si>
  <si>
    <t>CTK</t>
  </si>
  <si>
    <t>$0.2109</t>
  </si>
  <si>
    <t>1.02%</t>
  </si>
  <si>
    <t>12.22%</t>
  </si>
  <si>
    <t>2.68%</t>
  </si>
  <si>
    <t>$32,960,796</t>
  </si>
  <si>
    <t>$3,203,872</t>
  </si>
  <si>
    <t>156.25M</t>
  </si>
  <si>
    <t>Bounce Token</t>
  </si>
  <si>
    <t>AUCTION</t>
  </si>
  <si>
    <t>$4.98</t>
  </si>
  <si>
    <t>0.55%</t>
  </si>
  <si>
    <t>1.69%</t>
  </si>
  <si>
    <t>$32,861,595</t>
  </si>
  <si>
    <t>$8,992,170</t>
  </si>
  <si>
    <t>6.59M</t>
  </si>
  <si>
    <t>Klickl Token</t>
  </si>
  <si>
    <t>KLK</t>
  </si>
  <si>
    <t>$0.3271</t>
  </si>
  <si>
    <t>7.42%</t>
  </si>
  <si>
    <t>$32,719,123</t>
  </si>
  <si>
    <t>$598,215</t>
  </si>
  <si>
    <t>Rootstock Infrastructure Framework</t>
  </si>
  <si>
    <t>RIF</t>
  </si>
  <si>
    <t>$0.03270</t>
  </si>
  <si>
    <t>0.59%</t>
  </si>
  <si>
    <t>2.37%</t>
  </si>
  <si>
    <t>$32,706,820</t>
  </si>
  <si>
    <t>$2,413,431</t>
  </si>
  <si>
    <t>1B</t>
  </si>
  <si>
    <t>Uchain</t>
  </si>
  <si>
    <t>UCN</t>
  </si>
  <si>
    <t>$651.57</t>
  </si>
  <si>
    <t>16.63%</t>
  </si>
  <si>
    <t>$32,578,599</t>
  </si>
  <si>
    <t>$6,223,970</t>
  </si>
  <si>
    <t>50K</t>
  </si>
  <si>
    <t>Civic</t>
  </si>
  <si>
    <t>CVC</t>
  </si>
  <si>
    <t>$0.03247</t>
  </si>
  <si>
    <t>2.27%</t>
  </si>
  <si>
    <t>2.15%</t>
  </si>
  <si>
    <t>$32,473,808</t>
  </si>
  <si>
    <t>$2,924,893</t>
  </si>
  <si>
    <t>Mango Network</t>
  </si>
  <si>
    <t>MGO</t>
  </si>
  <si>
    <t>$0.02018</t>
  </si>
  <si>
    <t>2.09%</t>
  </si>
  <si>
    <t>4.11%</t>
  </si>
  <si>
    <t>$32,356,518</t>
  </si>
  <si>
    <t>$4,372,888</t>
  </si>
  <si>
    <t>1.6B</t>
  </si>
  <si>
    <t>OpenLedger</t>
  </si>
  <si>
    <t>OPEN</t>
  </si>
  <si>
    <t>$0.1497</t>
  </si>
  <si>
    <t>0.81%</t>
  </si>
  <si>
    <t>4.34%</t>
  </si>
  <si>
    <t>$32,273,579</t>
  </si>
  <si>
    <t>$7,677,817</t>
  </si>
  <si>
    <t>215.5M</t>
  </si>
  <si>
    <t>Bancor</t>
  </si>
  <si>
    <t>BNT</t>
  </si>
  <si>
    <t>$0.2946</t>
  </si>
  <si>
    <t>6.92%</t>
  </si>
  <si>
    <t>3.78%</t>
  </si>
  <si>
    <t>$32,265,827</t>
  </si>
  <si>
    <t>$3,307,258</t>
  </si>
  <si>
    <t>109.51M</t>
  </si>
  <si>
    <t>WOO</t>
  </si>
  <si>
    <t>$0.01706</t>
  </si>
  <si>
    <t>0.83%</t>
  </si>
  <si>
    <t>11.49%</t>
  </si>
  <si>
    <t>2.61%</t>
  </si>
  <si>
    <t>$32,237,643</t>
  </si>
  <si>
    <t>$8,124,420</t>
  </si>
  <si>
    <t>1.88B</t>
  </si>
  <si>
    <t>Micron Technology Tokenized Stock (Ondo)</t>
  </si>
  <si>
    <t>MUon</t>
  </si>
  <si>
    <t>$432.07</t>
  </si>
  <si>
    <t>2.64%</t>
  </si>
  <si>
    <t>1.03%</t>
  </si>
  <si>
    <t>$31,913,954</t>
  </si>
  <si>
    <t>$5,063,033</t>
  </si>
  <si>
    <t>73.86K</t>
  </si>
  <si>
    <t>CROSS</t>
  </si>
  <si>
    <t>$0.09498</t>
  </si>
  <si>
    <t>0.88%</t>
  </si>
  <si>
    <t>4.47%</t>
  </si>
  <si>
    <t>10.99%</t>
  </si>
  <si>
    <t>$31,841,781</t>
  </si>
  <si>
    <t>$4,159,527</t>
  </si>
  <si>
    <t>335.22M</t>
  </si>
  <si>
    <t>COTI</t>
  </si>
  <si>
    <t>$0.01188</t>
  </si>
  <si>
    <t>1.48%</t>
  </si>
  <si>
    <t>2.66%</t>
  </si>
  <si>
    <t>$31,829,663</t>
  </si>
  <si>
    <t>$5,797,345</t>
  </si>
  <si>
    <t>2.67B</t>
  </si>
  <si>
    <t>Metis</t>
  </si>
  <si>
    <t>METIS</t>
  </si>
  <si>
    <t>$3.33</t>
  </si>
  <si>
    <t>0.37%</t>
  </si>
  <si>
    <t>6.87%</t>
  </si>
  <si>
    <t>$24,358,450</t>
  </si>
  <si>
    <t>$4,771,360</t>
  </si>
  <si>
    <t>7.29M</t>
  </si>
  <si>
    <t>Invesco QQQ Tokenized ETF (Ondo)</t>
  </si>
  <si>
    <t>QQQon</t>
  </si>
  <si>
    <t>$617.00</t>
  </si>
  <si>
    <t>1.18%</t>
  </si>
  <si>
    <t>1.37%</t>
  </si>
  <si>
    <t>$24,329,278</t>
  </si>
  <si>
    <t>$2,509,418</t>
  </si>
  <si>
    <t>39.43K</t>
  </si>
  <si>
    <t>Coin98</t>
  </si>
  <si>
    <t>C98</t>
  </si>
  <si>
    <t>$0.02430</t>
  </si>
  <si>
    <t>0.45%</t>
  </si>
  <si>
    <t>6.88%</t>
  </si>
  <si>
    <t>12.57%</t>
  </si>
  <si>
    <t>$24,307,735</t>
  </si>
  <si>
    <t>$10,527,610</t>
  </si>
  <si>
    <t>999.99M</t>
  </si>
  <si>
    <t>Lista DAO</t>
  </si>
  <si>
    <t>LISTA</t>
  </si>
  <si>
    <t>$0.08501</t>
  </si>
  <si>
    <t>3.50%</t>
  </si>
  <si>
    <t>1.76%</t>
  </si>
  <si>
    <t>$24,126,349</t>
  </si>
  <si>
    <t>$3,982,680</t>
  </si>
  <si>
    <t>283.78M</t>
  </si>
  <si>
    <t>NVIDIA Tokenized Stock (Ondo)</t>
  </si>
  <si>
    <t>NVDAon</t>
  </si>
  <si>
    <t>$197.74</t>
  </si>
  <si>
    <t>4.77%</t>
  </si>
  <si>
    <t>$24,052,749</t>
  </si>
  <si>
    <t>$8,816,189</t>
  </si>
  <si>
    <t>121.63K</t>
  </si>
  <si>
    <t>Santos FC Fan Token</t>
  </si>
  <si>
    <t>SANTOS</t>
  </si>
  <si>
    <t>$1.49</t>
  </si>
  <si>
    <t>0.54%</t>
  </si>
  <si>
    <t>22.49%</t>
  </si>
  <si>
    <t>$24,011,157</t>
  </si>
  <si>
    <t>$10,575,909</t>
  </si>
  <si>
    <t>16.09M</t>
  </si>
  <si>
    <t>Sonic SVM</t>
  </si>
  <si>
    <t>SONIC</t>
  </si>
  <si>
    <t>$0.04945</t>
  </si>
  <si>
    <t>0.98%</t>
  </si>
  <si>
    <t>2.23%</t>
  </si>
  <si>
    <t>$23,984,239</t>
  </si>
  <si>
    <t>$51,769,623</t>
  </si>
  <si>
    <t>484.96M</t>
  </si>
  <si>
    <t>Across Protocol</t>
  </si>
  <si>
    <t>ACX</t>
  </si>
  <si>
    <t>$0.03482</t>
  </si>
  <si>
    <t>7.17%</t>
  </si>
  <si>
    <t>$23,966,887</t>
  </si>
  <si>
    <t>$1,595,985</t>
  </si>
  <si>
    <t>688.15M</t>
  </si>
  <si>
    <t>Sapien</t>
  </si>
  <si>
    <t>SAPIEN</t>
  </si>
  <si>
    <t>$0.09585</t>
  </si>
  <si>
    <t>7.40%</t>
  </si>
  <si>
    <t>14.65%</t>
  </si>
  <si>
    <t>$23,963,470</t>
  </si>
  <si>
    <t>$10,429,244</t>
  </si>
  <si>
    <t>250M</t>
  </si>
  <si>
    <t>Acurast</t>
  </si>
  <si>
    <t>ACU</t>
  </si>
  <si>
    <t>$0.1103</t>
  </si>
  <si>
    <t>1.16%</t>
  </si>
  <si>
    <t>8.22%</t>
  </si>
  <si>
    <t>$23,947,949</t>
  </si>
  <si>
    <t>$5,742,122</t>
  </si>
  <si>
    <t>217M</t>
  </si>
  <si>
    <t>Cheelee</t>
  </si>
  <si>
    <t>CHEEL</t>
  </si>
  <si>
    <t>$0.4196</t>
  </si>
  <si>
    <t>4.70%</t>
  </si>
  <si>
    <t>$23,849,721</t>
  </si>
  <si>
    <t>$1,998,691</t>
  </si>
  <si>
    <t>56.82M</t>
  </si>
  <si>
    <t>QuarkChain</t>
  </si>
  <si>
    <t>QKC</t>
  </si>
  <si>
    <t>$0.003303</t>
  </si>
  <si>
    <t>$23,827,588</t>
  </si>
  <si>
    <t>$1,585,753</t>
  </si>
  <si>
    <t>7.21B</t>
  </si>
  <si>
    <t>Taiko</t>
  </si>
  <si>
    <t>TAIKO</t>
  </si>
  <si>
    <t>$0.1238</t>
  </si>
  <si>
    <t>2.45%</t>
  </si>
  <si>
    <t>3.79%</t>
  </si>
  <si>
    <t>$23,824,954</t>
  </si>
  <si>
    <t>$2,516,336</t>
  </si>
  <si>
    <t>192.42M</t>
  </si>
  <si>
    <t>TokenPocket</t>
  </si>
  <si>
    <t>TPT</t>
  </si>
  <si>
    <t>$0.006839</t>
  </si>
  <si>
    <t>1.05%</t>
  </si>
  <si>
    <t>$23,708,110</t>
  </si>
  <si>
    <t>$88,715</t>
  </si>
  <si>
    <t>3.46B</t>
  </si>
  <si>
    <t>SATS (Ordinals)</t>
  </si>
  <si>
    <t>SATS</t>
  </si>
  <si>
    <t>$0.071128</t>
  </si>
  <si>
    <t>4.71%</t>
  </si>
  <si>
    <t>1.47%</t>
  </si>
  <si>
    <t>$23,705,462</t>
  </si>
  <si>
    <t>$5,298,937</t>
  </si>
  <si>
    <t>2.1P</t>
  </si>
  <si>
    <t>OLAXBT</t>
  </si>
  <si>
    <t>AIO</t>
  </si>
  <si>
    <t>$0.07738</t>
  </si>
  <si>
    <t>1.42%</t>
  </si>
  <si>
    <t>3.22%</t>
  </si>
  <si>
    <t>4.73%</t>
  </si>
  <si>
    <t>$17,818,597</t>
  </si>
  <si>
    <t>$6,799,409</t>
  </si>
  <si>
    <t>230.25M</t>
  </si>
  <si>
    <t>PAAL AI</t>
  </si>
  <si>
    <t>PAAL</t>
  </si>
  <si>
    <t>$0.01781</t>
  </si>
  <si>
    <t>6.07%</t>
  </si>
  <si>
    <t>$17,786,067</t>
  </si>
  <si>
    <t>$2,200,722</t>
  </si>
  <si>
    <t>998.65M</t>
  </si>
  <si>
    <t>Solend</t>
  </si>
  <si>
    <t>SLND</t>
  </si>
  <si>
    <t>$0.1771</t>
  </si>
  <si>
    <t>3.23%</t>
  </si>
  <si>
    <t>$17,710,259</t>
  </si>
  <si>
    <t>$40</t>
  </si>
  <si>
    <t>Banana Gun</t>
  </si>
  <si>
    <t>BANANA</t>
  </si>
  <si>
    <t>$4.40</t>
  </si>
  <si>
    <t>5.57%</t>
  </si>
  <si>
    <t>1.27%</t>
  </si>
  <si>
    <t>$17,663,532</t>
  </si>
  <si>
    <t>$4,268,173</t>
  </si>
  <si>
    <t>4M</t>
  </si>
  <si>
    <t>Anoma</t>
  </si>
  <si>
    <t>XAN</t>
  </si>
  <si>
    <t>$0.007062</t>
  </si>
  <si>
    <t>2.05%</t>
  </si>
  <si>
    <t>8.49%</t>
  </si>
  <si>
    <t>$17,655,551</t>
  </si>
  <si>
    <t>$6,501,500</t>
  </si>
  <si>
    <t>2.5B</t>
  </si>
  <si>
    <t>MovieBloc</t>
  </si>
  <si>
    <t>MBL</t>
  </si>
  <si>
    <t>$0.0009243</t>
  </si>
  <si>
    <t>0.29%</t>
  </si>
  <si>
    <t>$17,640,631</t>
  </si>
  <si>
    <t>$4,427,621</t>
  </si>
  <si>
    <t>19.08B</t>
  </si>
  <si>
    <t>Bulla</t>
  </si>
  <si>
    <t>BULLA</t>
  </si>
  <si>
    <t>$0.01757</t>
  </si>
  <si>
    <t>3.32%</t>
  </si>
  <si>
    <t>10.34%</t>
  </si>
  <si>
    <t>33.33%</t>
  </si>
  <si>
    <t>$17,571,077</t>
  </si>
  <si>
    <t>$8,753,504</t>
  </si>
  <si>
    <t>ArcBlock</t>
  </si>
  <si>
    <t>ABT</t>
  </si>
  <si>
    <t>$0.1774</t>
  </si>
  <si>
    <t>6.03%</t>
  </si>
  <si>
    <t>6.29%</t>
  </si>
  <si>
    <t>$17,489,712</t>
  </si>
  <si>
    <t>$127,299</t>
  </si>
  <si>
    <t>98.55M</t>
  </si>
  <si>
    <t>ChainGPT</t>
  </si>
  <si>
    <t>CGPT</t>
  </si>
  <si>
    <t>$0.01988</t>
  </si>
  <si>
    <t>5.47%</t>
  </si>
  <si>
    <t>$17,418,478</t>
  </si>
  <si>
    <t>$7,485,035</t>
  </si>
  <si>
    <t>876.15M</t>
  </si>
  <si>
    <t>Ponke</t>
  </si>
  <si>
    <t>PONKE</t>
  </si>
  <si>
    <t>$0.03131</t>
  </si>
  <si>
    <t>0.97%</t>
  </si>
  <si>
    <t>1.51%</t>
  </si>
  <si>
    <t>3.65%</t>
  </si>
  <si>
    <t>$17,394,707</t>
  </si>
  <si>
    <t>$2,462,143</t>
  </si>
  <si>
    <t>555.54M</t>
  </si>
  <si>
    <t>zkPass</t>
  </si>
  <si>
    <t>ZKP</t>
  </si>
  <si>
    <t>$0.08623</t>
  </si>
  <si>
    <t>1.45%</t>
  </si>
  <si>
    <t>1.81%</t>
  </si>
  <si>
    <t>5.77%</t>
  </si>
  <si>
    <t>$17,389,986</t>
  </si>
  <si>
    <t>$10,038,030</t>
  </si>
  <si>
    <t>201.66M</t>
  </si>
  <si>
    <t>Vine Coin</t>
  </si>
  <si>
    <t>VINE</t>
  </si>
  <si>
    <t>$0.01727</t>
  </si>
  <si>
    <t>2.82%</t>
  </si>
  <si>
    <t>6.44%</t>
  </si>
  <si>
    <t>$17,275,084</t>
  </si>
  <si>
    <t>$3,558,642</t>
  </si>
  <si>
    <t>Railgun</t>
  </si>
  <si>
    <t>RAIL</t>
  </si>
  <si>
    <t>$1.23</t>
  </si>
  <si>
    <t>7.28%</t>
  </si>
  <si>
    <t>6.16%</t>
  </si>
  <si>
    <t>$16,891,530</t>
  </si>
  <si>
    <t>$372,847</t>
  </si>
  <si>
    <t>13.65M</t>
  </si>
  <si>
    <t>Chainbase</t>
  </si>
  <si>
    <t>C</t>
  </si>
  <si>
    <t>$0.05309</t>
  </si>
  <si>
    <t>2.62%</t>
  </si>
  <si>
    <t>2.73%</t>
  </si>
  <si>
    <t>$16,885,419</t>
  </si>
  <si>
    <t>$3,608,308</t>
  </si>
  <si>
    <t>317.99M</t>
  </si>
  <si>
    <t>iShares Core MSCI EAFE Tokenized ETF (Ondo)</t>
  </si>
  <si>
    <t>IEFAon</t>
  </si>
  <si>
    <t>$99.52</t>
  </si>
  <si>
    <t>$16,877,556</t>
  </si>
  <si>
    <t>$1,903,788</t>
  </si>
  <si>
    <t>169.58K</t>
  </si>
  <si>
    <t>Moonbeam</t>
  </si>
  <si>
    <t>GLMR</t>
  </si>
  <si>
    <t>$0.01305</t>
  </si>
  <si>
    <t>7.36%</t>
  </si>
  <si>
    <t>$13,962,917</t>
  </si>
  <si>
    <t>$2,153,906</t>
  </si>
  <si>
    <t>Avail</t>
  </si>
  <si>
    <t>AVAIL</t>
  </si>
  <si>
    <t>$0.003755</t>
  </si>
  <si>
    <t>1.87%</t>
  </si>
  <si>
    <t>4.41%</t>
  </si>
  <si>
    <t>$13,943,710</t>
  </si>
  <si>
    <t>$1,560,282</t>
  </si>
  <si>
    <t>3.71B</t>
  </si>
  <si>
    <t>YieldBasis</t>
  </si>
  <si>
    <t>YB</t>
  </si>
  <si>
    <t>$0.1585</t>
  </si>
  <si>
    <t>$13,937,700</t>
  </si>
  <si>
    <t>$6,689,520</t>
  </si>
  <si>
    <t>87.91M</t>
  </si>
  <si>
    <t>Origin Protocol</t>
  </si>
  <si>
    <t>OGN</t>
  </si>
  <si>
    <t>$0.02107</t>
  </si>
  <si>
    <t>0.16%</t>
  </si>
  <si>
    <t>0.49%</t>
  </si>
  <si>
    <t>5.02%</t>
  </si>
  <si>
    <t>$13,929,017</t>
  </si>
  <si>
    <t>$7,452,306</t>
  </si>
  <si>
    <t>661.07M</t>
  </si>
  <si>
    <t>OG Fan Token</t>
  </si>
  <si>
    <t>OG</t>
  </si>
  <si>
    <t>$3.02</t>
  </si>
  <si>
    <t>0.39%</t>
  </si>
  <si>
    <t>9.80%</t>
  </si>
  <si>
    <t>$13,892,495</t>
  </si>
  <si>
    <t>$7,798,028</t>
  </si>
  <si>
    <t>4.58M</t>
  </si>
  <si>
    <t>ResearchCoin</t>
  </si>
  <si>
    <t>RSC</t>
  </si>
  <si>
    <t>$0.1070</t>
  </si>
  <si>
    <t>16.65%</t>
  </si>
  <si>
    <t>9.25%</t>
  </si>
  <si>
    <t>$13,873,324</t>
  </si>
  <si>
    <t>$734,731</t>
  </si>
  <si>
    <t>129.55M</t>
  </si>
  <si>
    <t>XSGD</t>
  </si>
  <si>
    <t>$0.7915</t>
  </si>
  <si>
    <t>$13,837,946</t>
  </si>
  <si>
    <t>$289,052</t>
  </si>
  <si>
    <t>17.48M</t>
  </si>
  <si>
    <t>哈基米</t>
  </si>
  <si>
    <t>$0.01381</t>
  </si>
  <si>
    <t>29.06%</t>
  </si>
  <si>
    <t>$13,817,935</t>
  </si>
  <si>
    <t>$1,290,562</t>
  </si>
  <si>
    <t>Microsoft tokenized stock (xStock)</t>
  </si>
  <si>
    <t>MSFTX</t>
  </si>
  <si>
    <t>$409.71</t>
  </si>
  <si>
    <t>1.73%</t>
  </si>
  <si>
    <t>1.74%</t>
  </si>
  <si>
    <t>$13,816,136</t>
  </si>
  <si>
    <t>$4,386</t>
  </si>
  <si>
    <t>33.72K</t>
  </si>
  <si>
    <t>ANyONe Protocol</t>
  </si>
  <si>
    <t>ANYONE</t>
  </si>
  <si>
    <t>$0.1415</t>
  </si>
  <si>
    <t>9.22%</t>
  </si>
  <si>
    <t>3.46%</t>
  </si>
  <si>
    <t>$13,804,464</t>
  </si>
  <si>
    <t>$581,043</t>
  </si>
  <si>
    <t>97.49M</t>
  </si>
  <si>
    <t>Ice Open Network</t>
  </si>
  <si>
    <t>ICE</t>
  </si>
  <si>
    <t>$0.002082</t>
  </si>
  <si>
    <t>14.48%</t>
  </si>
  <si>
    <t>$13,777,596</t>
  </si>
  <si>
    <t>$8,894</t>
  </si>
  <si>
    <t>6.61B</t>
  </si>
  <si>
    <t>Tesla Tokenized Stock (Ondo)</t>
  </si>
  <si>
    <t>TSLAon</t>
  </si>
  <si>
    <t>$414.77</t>
  </si>
  <si>
    <t>1.41%</t>
  </si>
  <si>
    <t>0.65%</t>
  </si>
  <si>
    <t>$13,764,557</t>
  </si>
  <si>
    <t>$2,178,974</t>
  </si>
  <si>
    <t>33.18K</t>
  </si>
  <si>
    <t>Firo</t>
  </si>
  <si>
    <t>FIRO</t>
  </si>
  <si>
    <t>$0.7480</t>
  </si>
  <si>
    <t>5.51%</t>
  </si>
  <si>
    <t>10.93%</t>
  </si>
  <si>
    <t>$13,693,981</t>
  </si>
  <si>
    <t>$306,852</t>
  </si>
  <si>
    <t>18.3M</t>
  </si>
  <si>
    <t>Starpower</t>
  </si>
  <si>
    <t>STAR</t>
  </si>
  <si>
    <t>$0.07358</t>
  </si>
  <si>
    <t>1.30%</t>
  </si>
  <si>
    <t>$13,681,580</t>
  </si>
  <si>
    <t>$13,259,161</t>
  </si>
  <si>
    <t>185.92M</t>
  </si>
  <si>
    <t>FUNToken</t>
  </si>
  <si>
    <t>FUN</t>
  </si>
  <si>
    <t>$0.001261</t>
  </si>
  <si>
    <t>10.14%</t>
  </si>
  <si>
    <t>7.69%</t>
  </si>
  <si>
    <t>$13,634,000</t>
  </si>
  <si>
    <t>$4,857,191</t>
  </si>
  <si>
    <t>10.8B</t>
  </si>
  <si>
    <t>Automata Network</t>
  </si>
  <si>
    <t>ATA</t>
  </si>
  <si>
    <t>$0.01155</t>
  </si>
  <si>
    <t>0.71%</t>
  </si>
  <si>
    <t>1.10%</t>
  </si>
  <si>
    <t>5.96%</t>
  </si>
  <si>
    <t>$10,933,791</t>
  </si>
  <si>
    <t>$744,515</t>
  </si>
  <si>
    <t>946.59M</t>
  </si>
  <si>
    <t>Ika</t>
  </si>
  <si>
    <t>IKA</t>
  </si>
  <si>
    <t>$0.003627</t>
  </si>
  <si>
    <t>2.31%</t>
  </si>
  <si>
    <t>3.73%</t>
  </si>
  <si>
    <t>$10,883,235</t>
  </si>
  <si>
    <t>$918,848</t>
  </si>
  <si>
    <t>3B</t>
  </si>
  <si>
    <t>Chainbounty</t>
  </si>
  <si>
    <t>BOUNTY</t>
  </si>
  <si>
    <t>$0.02120</t>
  </si>
  <si>
    <t>0.94%</t>
  </si>
  <si>
    <t>$10,881,360</t>
  </si>
  <si>
    <t>$1,083,764</t>
  </si>
  <si>
    <t>513.04M</t>
  </si>
  <si>
    <t>Goldfinch</t>
  </si>
  <si>
    <t>GFI</t>
  </si>
  <si>
    <t>$0.1257</t>
  </si>
  <si>
    <t>7.09%</t>
  </si>
  <si>
    <t>$10,810,374</t>
  </si>
  <si>
    <t>$196,226</t>
  </si>
  <si>
    <t>85.94M</t>
  </si>
  <si>
    <t>Hamster Kombat</t>
  </si>
  <si>
    <t>HMSTR</t>
  </si>
  <si>
    <t>$0.0001678</t>
  </si>
  <si>
    <t>4.09%</t>
  </si>
  <si>
    <t>$10,803,730</t>
  </si>
  <si>
    <t>$2,826,196</t>
  </si>
  <si>
    <t>64.37B</t>
  </si>
  <si>
    <t>Paris Saint-Germain Fan Token</t>
  </si>
  <si>
    <t>PSG</t>
  </si>
  <si>
    <t>$0.7443</t>
  </si>
  <si>
    <t>0.72%</t>
  </si>
  <si>
    <t>$10,766,565</t>
  </si>
  <si>
    <t>$2,904,179</t>
  </si>
  <si>
    <t>14.46M</t>
  </si>
  <si>
    <t>Paparazzi Token</t>
  </si>
  <si>
    <t>PAPARAZZI</t>
  </si>
  <si>
    <t>$0.001550</t>
  </si>
  <si>
    <t>0.62%</t>
  </si>
  <si>
    <t>3.54%</t>
  </si>
  <si>
    <t>$10,764,308</t>
  </si>
  <si>
    <t>$238,007</t>
  </si>
  <si>
    <t>6.94B</t>
  </si>
  <si>
    <t>Klever Coin</t>
  </si>
  <si>
    <t>KLV</t>
  </si>
  <si>
    <t>$0.001210</t>
  </si>
  <si>
    <t>$10,745,971</t>
  </si>
  <si>
    <t>$301,025</t>
  </si>
  <si>
    <t>8.88B</t>
  </si>
  <si>
    <t>Ellipsis</t>
  </si>
  <si>
    <t>EPS</t>
  </si>
  <si>
    <t>$0.01482</t>
  </si>
  <si>
    <t>5.91%</t>
  </si>
  <si>
    <t>2.85%</t>
  </si>
  <si>
    <t>$10,727,535</t>
  </si>
  <si>
    <t>723.7M</t>
  </si>
  <si>
    <t>Ark of Panda</t>
  </si>
  <si>
    <t>AOP</t>
  </si>
  <si>
    <t>$0.03042</t>
  </si>
  <si>
    <t>0.48%</t>
  </si>
  <si>
    <t>4.79%</t>
  </si>
  <si>
    <t>$10,649,702</t>
  </si>
  <si>
    <t>$1,139,607</t>
  </si>
  <si>
    <t>349.99M</t>
  </si>
  <si>
    <t>Alien Worlds</t>
  </si>
  <si>
    <t>TLM</t>
  </si>
  <si>
    <t>$0.001633</t>
  </si>
  <si>
    <t>2.55%</t>
  </si>
  <si>
    <t>$10,616,425</t>
  </si>
  <si>
    <t>$4,200,231</t>
  </si>
  <si>
    <t>6.49B</t>
  </si>
  <si>
    <t>iShares Core S&amp;P Total US Stock Market Tokenized ETF (Ondo)</t>
  </si>
  <si>
    <t>ITOTon</t>
  </si>
  <si>
    <t>$153.25</t>
  </si>
  <si>
    <t>1.59%</t>
  </si>
  <si>
    <t>$10,558,503</t>
  </si>
  <si>
    <t>$421</t>
  </si>
  <si>
    <t>68.89K</t>
  </si>
  <si>
    <t>Nimiq</t>
  </si>
  <si>
    <t>NIM</t>
  </si>
  <si>
    <t>$0.0007619</t>
  </si>
  <si>
    <t>9.09%</t>
  </si>
  <si>
    <t>11.90%</t>
  </si>
  <si>
    <t>$10,549,348</t>
  </si>
  <si>
    <t>$100,545</t>
  </si>
  <si>
    <t>13.84B</t>
  </si>
  <si>
    <t>Hashflow</t>
  </si>
  <si>
    <t>HFT</t>
  </si>
  <si>
    <t>$0.01463</t>
  </si>
  <si>
    <t>0.57%</t>
  </si>
  <si>
    <t>14.28%</t>
  </si>
  <si>
    <t>$10,541,204</t>
  </si>
  <si>
    <t>$5,209,345</t>
  </si>
  <si>
    <t>720.42M</t>
  </si>
  <si>
    <t>Impossible Finance Launchpad</t>
  </si>
  <si>
    <t>IDIA</t>
  </si>
  <si>
    <t>$0.01547</t>
  </si>
  <si>
    <t>$10,522,337</t>
  </si>
  <si>
    <t>680M</t>
  </si>
  <si>
    <t>Lumia</t>
  </si>
  <si>
    <t>LUMIA</t>
  </si>
  <si>
    <t>$0.06082</t>
  </si>
  <si>
    <t>2.65%</t>
  </si>
  <si>
    <t>4.97%</t>
  </si>
  <si>
    <t>$8,567,380</t>
  </si>
  <si>
    <t>$1,843,046</t>
  </si>
  <si>
    <t>140.84M</t>
  </si>
  <si>
    <t>AGENDA 47</t>
  </si>
  <si>
    <t>A47</t>
  </si>
  <si>
    <t>$0.008564</t>
  </si>
  <si>
    <t>5.27%</t>
  </si>
  <si>
    <t>23.12%</t>
  </si>
  <si>
    <t>92.78%</t>
  </si>
  <si>
    <t>$8,564,809</t>
  </si>
  <si>
    <t>$16,521,630</t>
  </si>
  <si>
    <t>Mansory</t>
  </si>
  <si>
    <t>MNSRY</t>
  </si>
  <si>
    <t>$0.009503</t>
  </si>
  <si>
    <t>3.56%</t>
  </si>
  <si>
    <t>2.41%</t>
  </si>
  <si>
    <t>$8,553,353</t>
  </si>
  <si>
    <t>$436,488</t>
  </si>
  <si>
    <t>899.98M</t>
  </si>
  <si>
    <t>AMO Coin</t>
  </si>
  <si>
    <t>AMO</t>
  </si>
  <si>
    <t>$0.0004015</t>
  </si>
  <si>
    <t>1.25%</t>
  </si>
  <si>
    <t>1.70%</t>
  </si>
  <si>
    <t>$8,513,431</t>
  </si>
  <si>
    <t>$30,332</t>
  </si>
  <si>
    <t>21.2B</t>
  </si>
  <si>
    <t>SigmaDotMoney</t>
  </si>
  <si>
    <t>SIGMA</t>
  </si>
  <si>
    <t>$0.05855</t>
  </si>
  <si>
    <t>18.40%</t>
  </si>
  <si>
    <t>31.51%</t>
  </si>
  <si>
    <t>$8,490,542</t>
  </si>
  <si>
    <t>$552,419</t>
  </si>
  <si>
    <t>145M</t>
  </si>
  <si>
    <t>MetFi</t>
  </si>
  <si>
    <t>METFI</t>
  </si>
  <si>
    <t>$0.03010</t>
  </si>
  <si>
    <t>2.98%</t>
  </si>
  <si>
    <t>14.06%</t>
  </si>
  <si>
    <t>$8,468,294</t>
  </si>
  <si>
    <t>$27,509</t>
  </si>
  <si>
    <t>281.3M</t>
  </si>
  <si>
    <t>Aspecta</t>
  </si>
  <si>
    <t>ASP</t>
  </si>
  <si>
    <t>$0.02822</t>
  </si>
  <si>
    <t>$8,423,430</t>
  </si>
  <si>
    <t>$1,240,646</t>
  </si>
  <si>
    <t>298.48M</t>
  </si>
  <si>
    <t>Portugal National Team Fan Token</t>
  </si>
  <si>
    <t>POR</t>
  </si>
  <si>
    <t>$0.7867</t>
  </si>
  <si>
    <t>2.35%</t>
  </si>
  <si>
    <t>$8,370,576</t>
  </si>
  <si>
    <t>$336,678</t>
  </si>
  <si>
    <t>10.63M</t>
  </si>
  <si>
    <t>Zircuit</t>
  </si>
  <si>
    <t>ZRC</t>
  </si>
  <si>
    <t>$0.001793</t>
  </si>
  <si>
    <t>1.19%</t>
  </si>
  <si>
    <t>$8,340,700</t>
  </si>
  <si>
    <t>$8,463,940</t>
  </si>
  <si>
    <t>4.64B</t>
  </si>
  <si>
    <t>Morphware</t>
  </si>
  <si>
    <t>XMW</t>
  </si>
  <si>
    <t>$0.01003</t>
  </si>
  <si>
    <t>21.53%</t>
  </si>
  <si>
    <t>16.37%</t>
  </si>
  <si>
    <t>$8,262,269</t>
  </si>
  <si>
    <t>$197,592</t>
  </si>
  <si>
    <t>823.7M</t>
  </si>
  <si>
    <t>The Game Company</t>
  </si>
  <si>
    <t>GMRT</t>
  </si>
  <si>
    <t>$0.02522</t>
  </si>
  <si>
    <t>354.25%</t>
  </si>
  <si>
    <t>709.64%</t>
  </si>
  <si>
    <t>$8,255,447</t>
  </si>
  <si>
    <t>$11,295</t>
  </si>
  <si>
    <t>327.29M</t>
  </si>
  <si>
    <t>Groestlcoin</t>
  </si>
  <si>
    <t>GRS</t>
  </si>
  <si>
    <t>$0.09154</t>
  </si>
  <si>
    <t>$8,195,342</t>
  </si>
  <si>
    <t>89.52M</t>
  </si>
  <si>
    <t>4</t>
  </si>
  <si>
    <t>$0.008167</t>
  </si>
  <si>
    <t>4.14%</t>
  </si>
  <si>
    <t>$8,167,934</t>
  </si>
  <si>
    <t>$2,920,424</t>
  </si>
  <si>
    <t>Fartboy</t>
  </si>
  <si>
    <t>FARTBOY</t>
  </si>
  <si>
    <t>$0.008174</t>
  </si>
  <si>
    <t>$8,169,907</t>
  </si>
  <si>
    <t>$625,712</t>
  </si>
  <si>
    <t>999.44M</t>
  </si>
  <si>
    <t>Liqwid Finance</t>
  </si>
  <si>
    <t>LQ</t>
  </si>
  <si>
    <t>$0.4047</t>
  </si>
  <si>
    <t>1.75%</t>
  </si>
  <si>
    <t>8.18%</t>
  </si>
  <si>
    <t>$8,152,005</t>
  </si>
  <si>
    <t>$187,733</t>
  </si>
  <si>
    <t>20.14M</t>
  </si>
  <si>
    <t>Openverse Network</t>
  </si>
  <si>
    <t>BTG</t>
  </si>
  <si>
    <t>$3.57</t>
  </si>
  <si>
    <t>3.08%</t>
  </si>
  <si>
    <t>1.01%</t>
  </si>
  <si>
    <t>$6,792,959</t>
  </si>
  <si>
    <t>$1,016,273</t>
  </si>
  <si>
    <t>1.9M</t>
  </si>
  <si>
    <t>HOPR</t>
  </si>
  <si>
    <t>$0.01979</t>
  </si>
  <si>
    <t>3.11%</t>
  </si>
  <si>
    <t>$6,752,114</t>
  </si>
  <si>
    <t>$179,392</t>
  </si>
  <si>
    <t>341.17M</t>
  </si>
  <si>
    <t>NEM</t>
  </si>
  <si>
    <t>XEM</t>
  </si>
  <si>
    <t>$0.0007501</t>
  </si>
  <si>
    <t>4.91%</t>
  </si>
  <si>
    <t>5.10%</t>
  </si>
  <si>
    <t>$6,751,392</t>
  </si>
  <si>
    <t>$1,320,118</t>
  </si>
  <si>
    <t>8.99B</t>
  </si>
  <si>
    <t>Dego Finance</t>
  </si>
  <si>
    <t>DEGO</t>
  </si>
  <si>
    <t>$0.3207</t>
  </si>
  <si>
    <t>$6,735,803</t>
  </si>
  <si>
    <t>$1,461,325</t>
  </si>
  <si>
    <t>20.99M</t>
  </si>
  <si>
    <t>Hooked Protocol</t>
  </si>
  <si>
    <t>HOOK</t>
  </si>
  <si>
    <t>$0.02363</t>
  </si>
  <si>
    <t>3.10%</t>
  </si>
  <si>
    <t>$6,703,522</t>
  </si>
  <si>
    <t>$2,668,330</t>
  </si>
  <si>
    <t>283.58M</t>
  </si>
  <si>
    <t>Milady Meme Coin</t>
  </si>
  <si>
    <t>LADYS</t>
  </si>
  <si>
    <t>$0.089085</t>
  </si>
  <si>
    <t>13.61%</t>
  </si>
  <si>
    <t>10.38%</t>
  </si>
  <si>
    <t>$6,671,786</t>
  </si>
  <si>
    <t>$1,690,539</t>
  </si>
  <si>
    <t>734.36T</t>
  </si>
  <si>
    <t>Orbiter Finance</t>
  </si>
  <si>
    <t>OBT</t>
  </si>
  <si>
    <t>$0.001281</t>
  </si>
  <si>
    <t>4.32%</t>
  </si>
  <si>
    <t>$6,661,357</t>
  </si>
  <si>
    <t>$2,897,840</t>
  </si>
  <si>
    <t>5.2B</t>
  </si>
  <si>
    <t>WeBuy</t>
  </si>
  <si>
    <t>WE</t>
  </si>
  <si>
    <t>$0.01837</t>
  </si>
  <si>
    <t>1.72%</t>
  </si>
  <si>
    <t>$6,651,545</t>
  </si>
  <si>
    <t>$26,096</t>
  </si>
  <si>
    <t>362.03M</t>
  </si>
  <si>
    <t>IDEX</t>
  </si>
  <si>
    <t>$0.006630</t>
  </si>
  <si>
    <t>1.97%</t>
  </si>
  <si>
    <t>1.66%</t>
  </si>
  <si>
    <t>$6,630,860</t>
  </si>
  <si>
    <t>$1,970,302</t>
  </si>
  <si>
    <t>SUNDOG</t>
  </si>
  <si>
    <t>$0.006642</t>
  </si>
  <si>
    <t>1.40%</t>
  </si>
  <si>
    <t>$6,625,739</t>
  </si>
  <si>
    <t>$4,189,943</t>
  </si>
  <si>
    <t>997.42M</t>
  </si>
  <si>
    <t>Green Satoshi Token (SOL)</t>
  </si>
  <si>
    <t>GST</t>
  </si>
  <si>
    <t>$0.001555</t>
  </si>
  <si>
    <t>4.69%</t>
  </si>
  <si>
    <t>$6,622,116</t>
  </si>
  <si>
    <t>$98,061</t>
  </si>
  <si>
    <t>4.25B</t>
  </si>
  <si>
    <t>Suilend</t>
  </si>
  <si>
    <t>SEND</t>
  </si>
  <si>
    <t>$0.1024</t>
  </si>
  <si>
    <t>1.96%</t>
  </si>
  <si>
    <t>9.02%</t>
  </si>
  <si>
    <t>$6,610,295</t>
  </si>
  <si>
    <t>$117,926</t>
  </si>
  <si>
    <t>64.51M</t>
  </si>
  <si>
    <t>Inter Milan Fan Token</t>
  </si>
  <si>
    <t>INTER</t>
  </si>
  <si>
    <t>$0.5661</t>
  </si>
  <si>
    <t>5.64%</t>
  </si>
  <si>
    <t>$6,589,175</t>
  </si>
  <si>
    <t>$4,497,515</t>
  </si>
  <si>
    <t>11.63M</t>
  </si>
  <si>
    <t>KONET</t>
  </si>
  <si>
    <t>$0.01527</t>
  </si>
  <si>
    <t>1.80%</t>
  </si>
  <si>
    <t>5.69%</t>
  </si>
  <si>
    <t>$6,575,076</t>
  </si>
  <si>
    <t>$71,180</t>
  </si>
  <si>
    <t>430.44M</t>
  </si>
  <si>
    <t>Soil</t>
  </si>
  <si>
    <t>SOIL</t>
  </si>
  <si>
    <t>$0.1007</t>
  </si>
  <si>
    <t>2.87%</t>
  </si>
  <si>
    <t>$6,554,877</t>
  </si>
  <si>
    <t>$15,829</t>
  </si>
  <si>
    <t>65.05M</t>
  </si>
  <si>
    <t>Ambire Wallet</t>
  </si>
  <si>
    <t>WALLET</t>
  </si>
  <si>
    <t>$0.007737</t>
  </si>
  <si>
    <t>2.26%</t>
  </si>
  <si>
    <t>$5,323,479</t>
  </si>
  <si>
    <t>$60,314</t>
  </si>
  <si>
    <t>688M</t>
  </si>
  <si>
    <t>Echo Protocol</t>
  </si>
  <si>
    <t>ECHO</t>
  </si>
  <si>
    <t>$0.01674</t>
  </si>
  <si>
    <t>0.52%</t>
  </si>
  <si>
    <t>7.59%</t>
  </si>
  <si>
    <t>$5,321,748</t>
  </si>
  <si>
    <t>$295,258</t>
  </si>
  <si>
    <t>317.86M</t>
  </si>
  <si>
    <t>SWEAT</t>
  </si>
  <si>
    <t>$0.0006981</t>
  </si>
  <si>
    <t>3.25%</t>
  </si>
  <si>
    <t>2.25%</t>
  </si>
  <si>
    <t>$5,293,440</t>
  </si>
  <si>
    <t>$7,067,200</t>
  </si>
  <si>
    <t>7.58B</t>
  </si>
  <si>
    <t>Verified USD</t>
  </si>
  <si>
    <t>USDV</t>
  </si>
  <si>
    <t>$0.3077</t>
  </si>
  <si>
    <t>27.74%</t>
  </si>
  <si>
    <t>11.31%</t>
  </si>
  <si>
    <t>$5,275,489</t>
  </si>
  <si>
    <t>$6</t>
  </si>
  <si>
    <t>17.14M</t>
  </si>
  <si>
    <t>VNX Swiss Franc</t>
  </si>
  <si>
    <t>VCHF</t>
  </si>
  <si>
    <t>$1.29</t>
  </si>
  <si>
    <t>$5,265,944</t>
  </si>
  <si>
    <t>$240,384</t>
  </si>
  <si>
    <t>4.06M</t>
  </si>
  <si>
    <t>BOBO</t>
  </si>
  <si>
    <t>$0.077953</t>
  </si>
  <si>
    <t>5.53%</t>
  </si>
  <si>
    <t>$5,260,211</t>
  </si>
  <si>
    <t>$426,256</t>
  </si>
  <si>
    <t>66.13T</t>
  </si>
  <si>
    <t>Vara Network</t>
  </si>
  <si>
    <t>VARA</t>
  </si>
  <si>
    <t>$0.001017</t>
  </si>
  <si>
    <t>$5,234,195</t>
  </si>
  <si>
    <t>$58,576</t>
  </si>
  <si>
    <t>5.14B</t>
  </si>
  <si>
    <t>Swarm</t>
  </si>
  <si>
    <t>BZZ</t>
  </si>
  <si>
    <t>$0.09939</t>
  </si>
  <si>
    <t>1.98%</t>
  </si>
  <si>
    <t>$5,228,456</t>
  </si>
  <si>
    <t>$321,308</t>
  </si>
  <si>
    <t>52.6M</t>
  </si>
  <si>
    <t>Oasys</t>
  </si>
  <si>
    <t>OAS</t>
  </si>
  <si>
    <t>$0.0008161</t>
  </si>
  <si>
    <t>3.45%</t>
  </si>
  <si>
    <t>$5,219,890</t>
  </si>
  <si>
    <t>$414,253</t>
  </si>
  <si>
    <t>6.39B</t>
  </si>
  <si>
    <t>Star Atlas DAO</t>
  </si>
  <si>
    <t>POLIS</t>
  </si>
  <si>
    <t>$0.01575</t>
  </si>
  <si>
    <t>0.85%</t>
  </si>
  <si>
    <t>1.43%</t>
  </si>
  <si>
    <t>7.13%</t>
  </si>
  <si>
    <t>$5,213,015</t>
  </si>
  <si>
    <t>$120,437</t>
  </si>
  <si>
    <t>330.91M</t>
  </si>
  <si>
    <t>Lift Dollar</t>
  </si>
  <si>
    <t>USDL</t>
  </si>
  <si>
    <t>$0.9997</t>
  </si>
  <si>
    <t>$5,219,426</t>
  </si>
  <si>
    <t>5.22M</t>
  </si>
  <si>
    <t>DAR Open Network</t>
  </si>
  <si>
    <t>D</t>
  </si>
  <si>
    <t>$0.007009</t>
  </si>
  <si>
    <t>2.52%</t>
  </si>
  <si>
    <t>6.67%</t>
  </si>
  <si>
    <t>$5,211,964</t>
  </si>
  <si>
    <t>$3,384,918</t>
  </si>
  <si>
    <t>743.51M</t>
  </si>
  <si>
    <t>VK Token</t>
  </si>
  <si>
    <t>VK</t>
  </si>
  <si>
    <t>$0.0004777</t>
  </si>
  <si>
    <t>1.65%</t>
  </si>
  <si>
    <t>5.32%</t>
  </si>
  <si>
    <t>$5,206,650</t>
  </si>
  <si>
    <t>$1,518</t>
  </si>
  <si>
    <t>10.89B</t>
  </si>
  <si>
    <t>Altura</t>
  </si>
  <si>
    <t>ALU</t>
  </si>
  <si>
    <t>$0.005214</t>
  </si>
  <si>
    <t>0.63%</t>
  </si>
  <si>
    <t>6.86%</t>
  </si>
  <si>
    <t>4.06%</t>
  </si>
  <si>
    <t>$5,161,933</t>
  </si>
  <si>
    <t>$1,414,755</t>
  </si>
  <si>
    <t>990M</t>
  </si>
  <si>
    <t>KARRAT</t>
  </si>
  <si>
    <t>$0.006466</t>
  </si>
  <si>
    <t>7.74%</t>
  </si>
  <si>
    <t>38.66%</t>
  </si>
  <si>
    <t>$5,139,072</t>
  </si>
  <si>
    <t>$483,800</t>
  </si>
  <si>
    <t>794.69M</t>
  </si>
  <si>
    <t>Hyperion</t>
  </si>
  <si>
    <t>RION</t>
  </si>
  <si>
    <t>$0.2196</t>
  </si>
  <si>
    <t>8.57%</t>
  </si>
  <si>
    <t>15.75%</t>
  </si>
  <si>
    <t>$4,174,057</t>
  </si>
  <si>
    <t>$308,129</t>
  </si>
  <si>
    <t>19M</t>
  </si>
  <si>
    <t>Ski Mask Dog</t>
  </si>
  <si>
    <t>SKI</t>
  </si>
  <si>
    <t>$0.004204</t>
  </si>
  <si>
    <t>5.11%</t>
  </si>
  <si>
    <t>$4,159,448</t>
  </si>
  <si>
    <t>$372,961</t>
  </si>
  <si>
    <t>989.39M</t>
  </si>
  <si>
    <t>DaGama World</t>
  </si>
  <si>
    <t>DGMA</t>
  </si>
  <si>
    <t>$0.05037</t>
  </si>
  <si>
    <t>$4,140,016</t>
  </si>
  <si>
    <t>$397,548</t>
  </si>
  <si>
    <t>82.18M</t>
  </si>
  <si>
    <t>KaiChain</t>
  </si>
  <si>
    <t>KAI</t>
  </si>
  <si>
    <t>$0.0008663</t>
  </si>
  <si>
    <t>5.82%</t>
  </si>
  <si>
    <t>7.10%</t>
  </si>
  <si>
    <t>$4,136,992</t>
  </si>
  <si>
    <t>$8,380</t>
  </si>
  <si>
    <t>4.77B</t>
  </si>
  <si>
    <t>dYdX (ethDYDX)</t>
  </si>
  <si>
    <t>ETHDYDX</t>
  </si>
  <si>
    <t>$0.09908</t>
  </si>
  <si>
    <t>1.71%</t>
  </si>
  <si>
    <t>$4,127,533</t>
  </si>
  <si>
    <t>$8,823,286</t>
  </si>
  <si>
    <t>41.65M</t>
  </si>
  <si>
    <t>Average Downfall</t>
  </si>
  <si>
    <t>7d Prev Price</t>
  </si>
  <si>
    <t>24h Prev Price</t>
  </si>
  <si>
    <t>1h Prev Price</t>
  </si>
  <si>
    <t>Price Change(1h)</t>
  </si>
  <si>
    <t>Price Category</t>
  </si>
  <si>
    <t>Price Category(&gt;=10/&lt;10)</t>
  </si>
  <si>
    <t>Price Category(0-50/&gt;50)</t>
  </si>
  <si>
    <t>Name Filter</t>
  </si>
  <si>
    <t>&gt;50</t>
  </si>
  <si>
    <t>&gt;=10</t>
  </si>
  <si>
    <t>Selected</t>
  </si>
  <si>
    <t>0.5 - 5</t>
  </si>
  <si>
    <t>&lt;10</t>
  </si>
  <si>
    <t>0-50</t>
  </si>
  <si>
    <t>Other</t>
  </si>
  <si>
    <t>0.05 - 0.5</t>
  </si>
  <si>
    <t>5 - 50</t>
  </si>
  <si>
    <t>0 - 0.05</t>
  </si>
  <si>
    <t>Row Labels</t>
  </si>
  <si>
    <t>Grand Total</t>
  </si>
  <si>
    <t>Count of Coin Name</t>
  </si>
  <si>
    <t>Average of Average Downfall</t>
  </si>
  <si>
    <t>Average of Price (USD)</t>
  </si>
  <si>
    <t>KPI NAME</t>
  </si>
  <si>
    <t>VALUE</t>
  </si>
  <si>
    <t>Price</t>
  </si>
  <si>
    <t>Total Coin</t>
  </si>
  <si>
    <t>Average of 24h Prev Price</t>
  </si>
  <si>
    <t>Average of 7d Prev Price</t>
  </si>
  <si>
    <t>Sum of volume (24h) USD</t>
  </si>
  <si>
    <t>Others</t>
  </si>
  <si>
    <t>Volume</t>
  </si>
  <si>
    <t>Sum of 1h Prev Price</t>
  </si>
  <si>
    <t>Average of 1h Prev Price</t>
  </si>
  <si>
    <t>Sum of Price Change(1h)</t>
  </si>
  <si>
    <t>Sum of Price (USD)</t>
  </si>
  <si>
    <t>Crypto Analysis Dashboard</t>
  </si>
  <si>
    <t>Key Matrics</t>
  </si>
  <si>
    <t>Top 10 Coins by Liquidity (Volume 24h)</t>
  </si>
  <si>
    <t>Liquidity Distribution(Top 5 coins + Others)</t>
  </si>
  <si>
    <t>Please open in working hours (9 am to 5 pm)</t>
  </si>
  <si>
    <t>Top 10 Coins by Price Change(1h)</t>
  </si>
  <si>
    <t>Crypto Coins Comparison</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</si>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</sst>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 #,##0.00_ ;_ * \-#,##0.00_ ;_ * &quot;-&quot;??_ ;_ @_ "/>
    <numFmt numFmtId="164" formatCode="0.0000"/>
  </numFmts>
  <fonts count="16"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b/>
      <sz val="36"/>
      <color theme="1"/>
      <name val="Calibri"/>
      <family val="2"/>
      <scheme val="minor"/>
    </font>
    <font>
      <b/>
      <sz val="22"/>
      <color theme="2"/>
      <name val="Calibri"/>
      <family val="2"/>
      <scheme val="minor"/>
    </font>
    <font>
      <b/>
      <sz val="26"/>
      <color theme="1"/>
      <name val="Calibri"/>
      <family val="2"/>
      <scheme val="minor"/>
    </font>
    <font>
      <sz val="26"/>
      <color theme="1"/>
      <name val="Calibri"/>
      <family val="2"/>
      <scheme val="minor"/>
    </font>
    <font>
      <b/>
      <sz val="22"/>
      <color theme="1"/>
      <name val="Calibri"/>
      <family val="2"/>
      <scheme val="minor"/>
    </font>
    <font>
      <sz val="22"/>
      <color theme="1"/>
      <name val="Calibri"/>
      <family val="2"/>
      <scheme val="minor"/>
    </font>
    <font>
      <b/>
      <sz val="72"/>
      <color theme="3" tint="-0.499984740745262"/>
      <name val="Calibri"/>
      <family val="2"/>
      <scheme val="minor"/>
    </font>
    <font>
      <b/>
      <sz val="24"/>
      <color theme="1"/>
      <name val="Calibri"/>
      <family val="2"/>
      <scheme val="minor"/>
    </font>
    <font>
      <sz val="11"/>
      <color theme="3" tint="-0.499984740745262"/>
      <name val="Calibri"/>
      <family val="2"/>
      <scheme val="minor"/>
    </font>
    <font>
      <sz val="48"/>
      <color theme="3" tint="-0.499984740745262"/>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2"/>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0" tint="-0.34998626667073579"/>
        <bgColor indexed="64"/>
      </patternFill>
    </fill>
  </fills>
  <borders count="21">
    <border>
      <left/>
      <right/>
      <top/>
      <bottom/>
      <diagonal/>
    </border>
    <border>
      <left/>
      <right/>
      <top style="thin">
        <color theme="4" tint="0.39997558519241921"/>
      </top>
      <bottom/>
      <diagonal/>
    </border>
    <border>
      <left/>
      <right/>
      <top style="thin">
        <color theme="0" tint="-4.9989318521683403E-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43" fontId="1" fillId="0" borderId="0" applyFont="0" applyFill="0" applyBorder="0" applyAlignment="0" applyProtection="0"/>
  </cellStyleXfs>
  <cellXfs count="61">
    <xf numFmtId="0" fontId="0" fillId="0" borderId="0" xfId="0"/>
    <xf numFmtId="0" fontId="2" fillId="0" borderId="0" xfId="0" applyFont="1" applyAlignment="1">
      <alignment horizontal="center"/>
    </xf>
    <xf numFmtId="2" fontId="0" fillId="0" borderId="0" xfId="0" applyNumberFormat="1"/>
    <xf numFmtId="10" fontId="0" fillId="0" borderId="0" xfId="0" applyNumberFormat="1"/>
    <xf numFmtId="4" fontId="0" fillId="0" borderId="0" xfId="1" applyNumberFormat="1" applyFont="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4" fontId="0" fillId="0" borderId="0" xfId="0" applyNumberFormat="1"/>
    <xf numFmtId="4" fontId="2" fillId="2" borderId="1" xfId="0" applyNumberFormat="1" applyFont="1" applyFill="1" applyBorder="1"/>
    <xf numFmtId="3" fontId="0" fillId="0" borderId="0" xfId="0" applyNumberFormat="1"/>
    <xf numFmtId="0" fontId="0" fillId="0" borderId="2" xfId="0" applyBorder="1"/>
    <xf numFmtId="0" fontId="0" fillId="3" borderId="0" xfId="0" applyFill="1"/>
    <xf numFmtId="0" fontId="5" fillId="3" borderId="0" xfId="0" applyFont="1" applyFill="1"/>
    <xf numFmtId="0" fontId="5" fillId="3" borderId="0" xfId="0" applyFont="1" applyFill="1" applyAlignment="1">
      <alignment horizontal="left"/>
    </xf>
    <xf numFmtId="4" fontId="5" fillId="3" borderId="0" xfId="0" applyNumberFormat="1" applyFont="1" applyFill="1"/>
    <xf numFmtId="0" fontId="0" fillId="5" borderId="0" xfId="0" applyFill="1"/>
    <xf numFmtId="0" fontId="0" fillId="6" borderId="0" xfId="0" applyFill="1"/>
    <xf numFmtId="0" fontId="10" fillId="5" borderId="4" xfId="0" applyFont="1" applyFill="1" applyBorder="1"/>
    <xf numFmtId="0" fontId="11" fillId="5" borderId="5" xfId="0" applyFont="1" applyFill="1" applyBorder="1"/>
    <xf numFmtId="0" fontId="11" fillId="5" borderId="6" xfId="0" applyFont="1" applyFill="1" applyBorder="1"/>
    <xf numFmtId="0" fontId="10" fillId="5" borderId="7" xfId="0" applyFont="1" applyFill="1" applyBorder="1"/>
    <xf numFmtId="0" fontId="11" fillId="5" borderId="3" xfId="0" applyFont="1" applyFill="1" applyBorder="1"/>
    <xf numFmtId="0" fontId="11" fillId="5" borderId="8" xfId="0" quotePrefix="1" applyFont="1" applyFill="1" applyBorder="1"/>
    <xf numFmtId="0" fontId="11" fillId="5" borderId="8" xfId="0" applyFont="1" applyFill="1" applyBorder="1"/>
    <xf numFmtId="3" fontId="11" fillId="5" borderId="3" xfId="0" applyNumberFormat="1" applyFont="1" applyFill="1" applyBorder="1"/>
    <xf numFmtId="3" fontId="11" fillId="5" borderId="8" xfId="0" applyNumberFormat="1" applyFont="1" applyFill="1" applyBorder="1"/>
    <xf numFmtId="0" fontId="10" fillId="5" borderId="9" xfId="0" applyFont="1" applyFill="1" applyBorder="1"/>
    <xf numFmtId="3" fontId="11" fillId="5" borderId="10" xfId="0" applyNumberFormat="1" applyFont="1" applyFill="1" applyBorder="1"/>
    <xf numFmtId="3" fontId="11" fillId="5" borderId="11" xfId="0" applyNumberFormat="1" applyFont="1" applyFill="1" applyBorder="1"/>
    <xf numFmtId="0" fontId="9" fillId="3" borderId="0" xfId="0" applyFont="1" applyFill="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8" fillId="3" borderId="0" xfId="0" applyFont="1" applyFill="1" applyAlignment="1">
      <alignment vertical="center"/>
    </xf>
    <xf numFmtId="0" fontId="9" fillId="3" borderId="0" xfId="0" applyFont="1" applyFill="1" applyAlignment="1">
      <alignment vertical="center"/>
    </xf>
    <xf numFmtId="0" fontId="14" fillId="0" borderId="0" xfId="0" applyFont="1"/>
    <xf numFmtId="0" fontId="4" fillId="4" borderId="0" xfId="0" applyFont="1" applyFill="1"/>
    <xf numFmtId="0" fontId="4" fillId="0" borderId="0" xfId="0" applyFont="1"/>
    <xf numFmtId="4" fontId="4" fillId="0" borderId="0" xfId="0" applyNumberFormat="1" applyFont="1"/>
    <xf numFmtId="3" fontId="4" fillId="0" borderId="0" xfId="0" applyNumberFormat="1" applyFont="1"/>
    <xf numFmtId="0" fontId="3" fillId="3" borderId="0" xfId="0" applyFont="1" applyFill="1" applyAlignment="1">
      <alignment horizontal="center"/>
    </xf>
    <xf numFmtId="0" fontId="12" fillId="6" borderId="0" xfId="0" applyFont="1" applyFill="1" applyAlignment="1">
      <alignment horizontal="center" vertical="center"/>
    </xf>
    <xf numFmtId="0" fontId="15" fillId="6" borderId="0" xfId="0" applyFont="1" applyFill="1" applyAlignment="1">
      <alignment horizontal="center" vertical="center"/>
    </xf>
    <xf numFmtId="0" fontId="6" fillId="5" borderId="0" xfId="0" applyFont="1" applyFill="1" applyAlignment="1">
      <alignment horizontal="center" vertical="center"/>
    </xf>
    <xf numFmtId="0" fontId="13" fillId="3" borderId="0" xfId="0" applyFont="1" applyFill="1" applyAlignment="1">
      <alignment horizontal="center" vertical="center"/>
    </xf>
    <xf numFmtId="0" fontId="8" fillId="3" borderId="0" xfId="0" applyFont="1" applyFill="1" applyAlignment="1">
      <alignment horizontal="center" vertical="center"/>
    </xf>
    <xf numFmtId="0" fontId="7" fillId="3" borderId="0" xfId="0" applyFont="1" applyFill="1" applyAlignment="1">
      <alignment horizontal="center" vertical="center"/>
    </xf>
    <xf numFmtId="0" fontId="6" fillId="7" borderId="0" xfId="0" applyFont="1" applyFill="1" applyAlignment="1">
      <alignment horizontal="center" vertical="center"/>
    </xf>
    <xf numFmtId="0" fontId="0" fillId="7" borderId="0" xfId="0" applyFill="1" applyAlignment="1">
      <alignment horizontal="center" vertical="center"/>
    </xf>
    <xf numFmtId="0" fontId="9" fillId="3" borderId="0" xfId="0" applyFont="1" applyFill="1" applyAlignment="1">
      <alignment horizontal="center" vertical="center"/>
    </xf>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0" xfId="0" applyNumberFormat="1"/>
  </cellXfs>
  <cellStyles count="2">
    <cellStyle name="Comma" xfId="1" builtinId="3"/>
    <cellStyle name="Normal" xfId="0" builtinId="0"/>
  </cellStyles>
  <dxfs count="65">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sz val="14"/>
      </font>
    </dxf>
    <dxf>
      <font>
        <sz val="14"/>
      </font>
    </dxf>
    <dxf>
      <font>
        <sz val="14"/>
      </font>
    </dxf>
    <dxf>
      <font>
        <sz val="14"/>
      </font>
    </dxf>
    <dxf>
      <font>
        <sz val="14"/>
      </font>
    </dxf>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font>
        <sz val="14"/>
      </font>
    </dxf>
    <dxf>
      <font>
        <sz val="14"/>
      </font>
    </dxf>
    <dxf>
      <font>
        <sz val="14"/>
      </font>
    </dxf>
    <dxf>
      <font>
        <sz val="14"/>
      </font>
    </dxf>
    <dxf>
      <font>
        <sz val="14"/>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font>
        <color theme="0" tint="-0.14996795556505021"/>
      </font>
    </dxf>
    <dxf>
      <font>
        <color theme="2" tint="-9.9948118533890809E-2"/>
      </font>
    </dxf>
    <dxf>
      <font>
        <color theme="4" tint="0.39994506668294322"/>
      </font>
    </dxf>
  </dxfs>
  <tableStyles count="7" defaultTableStyle="TableStyleMedium9" defaultPivotStyle="PivotStyleLight16">
    <tableStyle name="Slicer Style 1" pivot="0" table="0" count="1" xr9:uid="{6B4E5EE8-3E4C-40E6-AA2F-1F040928055D}">
      <tableStyleElement type="headerRow" dxfId="64"/>
    </tableStyle>
    <tableStyle name="Slicer Style 2" pivot="0" table="0" count="1" xr9:uid="{3BBBB5B7-5BBB-470D-BFFD-A25CEC32D01E}"/>
    <tableStyle name="Slicer Style 3" pivot="0" table="0" count="1" xr9:uid="{9DAEDA26-6D6D-4761-AFE7-6214AA2488CF}">
      <tableStyleElement type="wholeTable" dxfId="63"/>
    </tableStyle>
    <tableStyle name="Slicer Style 4" pivot="0" table="0" count="1" xr9:uid="{3B8F4164-E470-4067-B211-A483790C5714}"/>
    <tableStyle name="Slicer Style 5" pivot="0" table="0" count="4" xr9:uid="{7CAE99A2-BEAE-43D5-B97C-678FD04FC564}"/>
    <tableStyle name="Slicer Style 6" pivot="0" table="0" count="3" xr9:uid="{6747CA60-B7E8-4366-8AAB-D7FB9DF2EF95}"/>
    <tableStyle name="Slicer Style 7" pivot="0" table="0" count="1" xr9:uid="{25DC36B6-1059-426A-8CD7-943457928797}">
      <tableStyleElement type="wholeTable" dxfId="62"/>
    </tableStyle>
  </tableStyles>
  <extLst>
    <ext xmlns:x14="http://schemas.microsoft.com/office/spreadsheetml/2009/9/main" uri="{46F421CA-312F-682f-3DD2-61675219B42D}">
      <x14:dxfs count="9">
        <dxf>
          <font>
            <color theme="2" tint="-0.24994659260841701"/>
          </font>
        </dxf>
        <dxf>
          <font>
            <b/>
            <i val="0"/>
            <color theme="2" tint="-0.499984740745262"/>
          </font>
        </dxf>
        <dxf>
          <font>
            <color theme="0" tint="-0.14996795556505021"/>
          </font>
        </dxf>
        <dxf>
          <font>
            <color theme="2" tint="-0.24994659260841701"/>
          </font>
        </dxf>
        <dxf>
          <font>
            <b/>
            <i val="0"/>
            <color theme="2" tint="-0.499984740745262"/>
          </font>
        </dxf>
        <dxf>
          <font>
            <color theme="0" tint="-4.9989318521683403E-2"/>
          </font>
        </dxf>
        <dxf>
          <font>
            <color theme="0" tint="-0.14996795556505021"/>
          </font>
        </dxf>
        <dxf>
          <font>
            <color theme="2" tint="-9.9948118533890809E-2"/>
          </font>
        </dxf>
        <dxf>
          <font>
            <color theme="2" tint="-0.24994659260841701"/>
          </font>
        </dxf>
      </x14:dxfs>
    </ext>
    <ext xmlns:x14="http://schemas.microsoft.com/office/spreadsheetml/2009/9/main" uri="{EB79DEF2-80B8-43e5-95BD-54CBDDF9020C}">
      <x14:slicerStyles defaultSlicerStyle="Slicer Style 6">
        <x14:slicerStyle name="Slicer Style 1"/>
        <x14:slicerStyle name="Slicer Style 2">
          <x14:slicerStyleElements>
            <x14:slicerStyleElement type="selectedItemWithData" dxfId="8"/>
          </x14:slicerStyleElements>
        </x14:slicerStyle>
        <x14:slicerStyle name="Slicer Style 3"/>
        <x14:slicerStyle name="Slicer Style 4">
          <x14:slicerStyleElements>
            <x14:slicerStyleElement type="selectedItemWithData" dxfId="7"/>
          </x14:slicerStyleElements>
        </x14:slicerStyle>
        <x14:slicerStyle name="Slicer Style 5">
          <x14:slicerStyleElements>
            <x14:slicerStyleElement type="unselectedItemWithData" dxfId="6"/>
            <x14:slicerStyleElement type="unselectedItemWithNoData" dxfId="5"/>
            <x14:slicerStyleElement type="selectedItemWithData" dxfId="4"/>
            <x14:slicerStyleElement type="selectedItemWithNoData" dxfId="3"/>
          </x14:slicerStyleElements>
        </x14:slicerStyle>
        <x14:slicerStyle name="Slicer Style 6">
          <x14:slicerStyleElements>
            <x14:slicerStyleElement type="unselectedItemWithData" dxfId="2"/>
            <x14:slicerStyleElement type="selectedItemWithData" dxfId="1"/>
            <x14:slicerStyleElement type="selectedItemWithNoData" dxfId="0"/>
          </x14:slicerStyleElements>
        </x14:slicerStyle>
        <x14:slicerStyle name="Slicer Style 7"/>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06/relationships/vbaProject" Target="vbaProject.bin"/><Relationship Id="rId10" Type="http://schemas.openxmlformats.org/officeDocument/2006/relationships/pivotCacheDefinition" Target="pivotCache/pivotCacheDefinition1.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1">
                <a:tint val="65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74D6-4CAC-8F80-1BE55E0539A8}"/>
            </c:ext>
          </c:extLst>
        </c:ser>
        <c:ser>
          <c:idx val="1"/>
          <c:order val="1"/>
          <c:tx>
            <c:strRef>
              <c:f>Sheet3!$C$2</c:f>
              <c:strCache>
                <c:ptCount val="1"/>
                <c:pt idx="0">
                  <c:v>Average of 7d Prev Price</c:v>
                </c:pt>
              </c:strCache>
            </c:strRef>
          </c:tx>
          <c:spPr>
            <a:solidFill>
              <a:schemeClr val="accent1"/>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74D6-4CAC-8F80-1BE55E0539A8}"/>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4-365B-4A1D-AA0B-F1D7CAB069BD}"/>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tint val="54000"/>
            </a:schemeClr>
          </a:solidFill>
          <a:ln w="19050">
            <a:solidFill>
              <a:schemeClr val="lt1"/>
            </a:solidFill>
          </a:ln>
          <a:effectLst/>
        </c:spPr>
      </c:pivotFmt>
      <c:pivotFmt>
        <c:idx val="2"/>
        <c:spPr>
          <a:solidFill>
            <a:schemeClr val="accent1">
              <a:tint val="77000"/>
            </a:schemeClr>
          </a:solidFill>
          <a:ln w="19050">
            <a:solidFill>
              <a:schemeClr val="lt1"/>
            </a:solidFill>
          </a:ln>
          <a:effectLst/>
        </c:spPr>
      </c:pivotFmt>
      <c:pivotFmt>
        <c:idx val="3"/>
        <c:spPr>
          <a:solidFill>
            <a:schemeClr val="accent1">
              <a:shade val="53000"/>
            </a:schemeClr>
          </a:solidFill>
          <a:ln w="19050">
            <a:solidFill>
              <a:schemeClr val="lt1"/>
            </a:solidFill>
          </a:ln>
          <a:effectLst/>
        </c:spPr>
      </c:pivotFmt>
      <c:pivotFmt>
        <c:idx val="4"/>
        <c:spPr>
          <a:solidFill>
            <a:schemeClr val="accent1">
              <a:shade val="76000"/>
            </a:schemeClr>
          </a:solidFill>
          <a:ln w="19050">
            <a:solidFill>
              <a:schemeClr val="lt1"/>
            </a:solidFill>
          </a:ln>
          <a:effectLst/>
        </c:spPr>
      </c:pivotFmt>
      <c:pivotFmt>
        <c:idx val="5"/>
        <c:spPr>
          <a:solidFill>
            <a:schemeClr val="accent1">
              <a:shade val="53000"/>
            </a:schemeClr>
          </a:solidFill>
          <a:ln w="19050">
            <a:solidFill>
              <a:schemeClr val="lt1"/>
            </a:solidFill>
          </a:ln>
          <a:effectLst/>
        </c:spPr>
      </c:pivotFmt>
      <c:pivotFmt>
        <c:idx val="6"/>
        <c:spPr>
          <a:solidFill>
            <a:schemeClr val="accent1">
              <a:tint val="77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hade val="76000"/>
            </a:schemeClr>
          </a:solidFill>
          <a:ln w="19050">
            <a:solidFill>
              <a:schemeClr val="lt1"/>
            </a:solidFill>
          </a:ln>
          <a:effectLst/>
        </c:spPr>
      </c:pivotFmt>
      <c:pivotFmt>
        <c:idx val="10"/>
        <c:spPr>
          <a:solidFill>
            <a:schemeClr val="accent1">
              <a:shade val="53000"/>
            </a:schemeClr>
          </a:solidFill>
          <a:ln w="19050">
            <a:solidFill>
              <a:schemeClr val="lt1"/>
            </a:solidFill>
          </a:ln>
          <a:effectLst/>
        </c:spPr>
      </c:pivotFmt>
    </c:pivotFmts>
    <c:plotArea>
      <c:layout/>
      <c:pieChart>
        <c:varyColors val="1"/>
        <c:ser>
          <c:idx val="0"/>
          <c:order val="0"/>
          <c:tx>
            <c:strRef>
              <c:f>Sheet3!$B$19</c:f>
              <c:strCache>
                <c:ptCount val="1"/>
                <c:pt idx="0">
                  <c:v>Total</c:v>
                </c:pt>
              </c:strCache>
            </c:strRef>
          </c:tx>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EE25-4874-A7EB-22D0421198CE}"/>
              </c:ext>
            </c:extLst>
          </c:dPt>
          <c:dPt>
            <c:idx val="1"/>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3-EE25-4874-A7EB-22D0421198CE}"/>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EE25-4874-A7EB-22D0421198CE}"/>
              </c:ext>
            </c:extLst>
          </c:dPt>
          <c:dPt>
            <c:idx val="3"/>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7-EE25-4874-A7EB-22D0421198CE}"/>
              </c:ext>
            </c:extLst>
          </c:dPt>
          <c:dPt>
            <c:idx val="4"/>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9-EE25-4874-A7EB-22D0421198CE}"/>
              </c:ext>
            </c:extLst>
          </c:dPt>
          <c:cat>
            <c:strRef>
              <c:f>Sheet3!$A$20:$A$24</c:f>
              <c:strCache>
                <c:ptCount val="5"/>
                <c:pt idx="0">
                  <c:v>Tether</c:v>
                </c:pt>
                <c:pt idx="1">
                  <c:v>USDC</c:v>
                </c:pt>
                <c:pt idx="2">
                  <c:v>XRP</c:v>
                </c:pt>
                <c:pt idx="3">
                  <c:v>Dogecoin</c:v>
                </c:pt>
                <c:pt idx="4">
                  <c:v>Cardano</c:v>
                </c:pt>
              </c:strCache>
            </c:strRef>
          </c:cat>
          <c:val>
            <c:numRef>
              <c:f>Sheet3!$B$20:$B$24</c:f>
              <c:numCache>
                <c:formatCode>#,##0.00</c:formatCode>
                <c:ptCount val="5"/>
                <c:pt idx="0">
                  <c:v>110724997343</c:v>
                </c:pt>
                <c:pt idx="1">
                  <c:v>15183054533</c:v>
                </c:pt>
                <c:pt idx="2">
                  <c:v>4421248180</c:v>
                </c:pt>
                <c:pt idx="3">
                  <c:v>1815598681</c:v>
                </c:pt>
                <c:pt idx="4">
                  <c:v>1152105381</c:v>
                </c:pt>
              </c:numCache>
            </c:numRef>
          </c:val>
          <c:extLst>
            <c:ext xmlns:c16="http://schemas.microsoft.com/office/drawing/2014/chart" uri="{C3380CC4-5D6E-409C-BE32-E72D297353CC}">
              <c16:uniqueId val="{00000000-F7FD-4978-B7DC-2DE2EA6C94A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0"/>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772964718932663E-2"/>
          <c:y val="6.6666666666666666E-2"/>
          <c:w val="0.77931614648964631"/>
          <c:h val="0.69065316835395574"/>
        </c:manualLayout>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2AE6-4FCD-B871-F3E427B8588E}"/>
            </c:ext>
          </c:extLst>
        </c:ser>
        <c:ser>
          <c:idx val="1"/>
          <c:order val="1"/>
          <c:tx>
            <c:strRef>
              <c:f>Sheet3!$H$38</c:f>
              <c:strCache>
                <c:ptCount val="1"/>
                <c:pt idx="0">
                  <c:v>Sum of Price (USD)</c:v>
                </c:pt>
              </c:strCache>
            </c:strRef>
          </c:tx>
          <c:spPr>
            <a:solidFill>
              <a:schemeClr val="accent2"/>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2AE6-4FCD-B871-F3E427B8588E}"/>
            </c:ext>
          </c:extLst>
        </c:ser>
        <c:ser>
          <c:idx val="2"/>
          <c:order val="2"/>
          <c:tx>
            <c:strRef>
              <c:f>Sheet3!$I$38</c:f>
              <c:strCache>
                <c:ptCount val="1"/>
                <c:pt idx="0">
                  <c:v>Sum of 1h Prev Price</c:v>
                </c:pt>
              </c:strCache>
            </c:strRef>
          </c:tx>
          <c:spPr>
            <a:solidFill>
              <a:schemeClr val="accent3"/>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2AE6-4FCD-B871-F3E427B8588E}"/>
            </c:ext>
          </c:extLst>
        </c:ser>
        <c:dLbls>
          <c:showLegendKey val="0"/>
          <c:showVal val="0"/>
          <c:showCatName val="0"/>
          <c:showSerName val="0"/>
          <c:showPercent val="0"/>
          <c:showBubbleSize val="0"/>
        </c:dLbls>
        <c:gapWidth val="219"/>
        <c:overlap val="-27"/>
        <c:axId val="499277488"/>
        <c:axId val="499277968"/>
      </c:barChart>
      <c:catAx>
        <c:axId val="49927748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968"/>
        <c:crosses val="autoZero"/>
        <c:auto val="1"/>
        <c:lblAlgn val="ctr"/>
        <c:lblOffset val="100"/>
        <c:noMultiLvlLbl val="0"/>
      </c:catAx>
      <c:valAx>
        <c:axId val="4992779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488"/>
        <c:crosses val="autoZero"/>
        <c:crossBetween val="between"/>
      </c:valAx>
      <c:spPr>
        <a:noFill/>
        <a:ln>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Sheet7!$B$3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B52-4FBD-BEC3-8BB7AE8F59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B52-4FBD-BEC3-8BB7AE8F59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B52-4FBD-BEC3-8BB7AE8F594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B52-4FBD-BEC3-8BB7AE8F594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B52-4FBD-BEC3-8BB7AE8F594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B52-4FBD-BEC3-8BB7AE8F594E}"/>
              </c:ext>
            </c:extLst>
          </c:dPt>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0-3827-448C-8DC8-1B63DA532DA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Security!$B$3</c:f>
              <c:strCache>
                <c:ptCount val="1"/>
                <c:pt idx="0">
                  <c:v>Total</c:v>
                </c:pt>
              </c:strCache>
            </c:strRef>
          </c:tx>
          <c:spPr>
            <a:solidFill>
              <a:schemeClr val="accent1"/>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76D2-4039-A1C5-792FF84A87B6}"/>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40BA-4D3E-939B-68A950AA9957}"/>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lumMod val="75000"/>
            </a:schemeClr>
          </a:solidFill>
          <a:ln w="12700">
            <a:solidFill>
              <a:schemeClr val="tx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4">
                <a:lumMod val="60000"/>
                <a:lumOff val="40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DE3D-483F-803E-DC936C451FB2}"/>
            </c:ext>
          </c:extLst>
        </c:ser>
        <c:ser>
          <c:idx val="1"/>
          <c:order val="1"/>
          <c:tx>
            <c:strRef>
              <c:f>Sheet3!$C$2</c:f>
              <c:strCache>
                <c:ptCount val="1"/>
                <c:pt idx="0">
                  <c:v>Average of 7d Prev Price</c:v>
                </c:pt>
              </c:strCache>
            </c:strRef>
          </c:tx>
          <c:spPr>
            <a:solidFill>
              <a:schemeClr val="accent4">
                <a:lumMod val="75000"/>
              </a:schemeClr>
            </a:solidFill>
            <a:ln w="12700">
              <a:solidFill>
                <a:schemeClr val="tx2">
                  <a:lumMod val="75000"/>
                </a:schemeClr>
              </a:solid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DE3D-483F-803E-DC936C451FB2}"/>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2-DE3D-483F-803E-DC936C451FB2}"/>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6350" cap="flat" cmpd="sng" algn="ctr">
            <a:solidFill>
              <a:schemeClr val="tx1">
                <a:lumMod val="95000"/>
                <a:lumOff val="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69231">
          <a:schemeClr val="bg1">
            <a:lumMod val="95000"/>
          </a:schemeClr>
        </a:gs>
        <a:gs pos="36000">
          <a:schemeClr val="bg1">
            <a:lumMod val="95000"/>
          </a:schemeClr>
        </a:gs>
      </a:gsLst>
      <a:lin ang="5400000" scaled="1"/>
    </a:gradFill>
    <a:ln w="120650" cap="flat" cmpd="sng" algn="ctr">
      <a:gradFill>
        <a:gsLst>
          <a:gs pos="9000">
            <a:schemeClr val="accent4">
              <a:lumMod val="75000"/>
            </a:schemeClr>
          </a:gs>
          <a:gs pos="74000">
            <a:schemeClr val="bg1"/>
          </a:gs>
          <a:gs pos="89000">
            <a:schemeClr val="bg1">
              <a:lumMod val="95000"/>
            </a:schemeClr>
          </a:gs>
          <a:gs pos="97000">
            <a:schemeClr val="bg1"/>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9"/>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3082-46BA-8FAF-33E2DC7309C1}"/>
            </c:ext>
          </c:extLst>
        </c:ser>
        <c:ser>
          <c:idx val="1"/>
          <c:order val="1"/>
          <c:tx>
            <c:strRef>
              <c:f>Sheet3!$H$38</c:f>
              <c:strCache>
                <c:ptCount val="1"/>
                <c:pt idx="0">
                  <c:v>Sum of Price (USD)</c:v>
                </c:pt>
              </c:strCache>
            </c:strRef>
          </c:tx>
          <c:spPr>
            <a:solidFill>
              <a:schemeClr val="accent4">
                <a:lumMod val="60000"/>
                <a:lumOff val="40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3082-46BA-8FAF-33E2DC7309C1}"/>
            </c:ext>
          </c:extLst>
        </c:ser>
        <c:ser>
          <c:idx val="2"/>
          <c:order val="2"/>
          <c:tx>
            <c:strRef>
              <c:f>Sheet3!$I$38</c:f>
              <c:strCache>
                <c:ptCount val="1"/>
                <c:pt idx="0">
                  <c:v>Sum of 1h Prev Price</c:v>
                </c:pt>
              </c:strCache>
            </c:strRef>
          </c:tx>
          <c:spPr>
            <a:solidFill>
              <a:schemeClr val="accent4">
                <a:lumMod val="75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3082-46BA-8FAF-33E2DC7309C1}"/>
            </c:ext>
          </c:extLst>
        </c:ser>
        <c:dLbls>
          <c:showLegendKey val="0"/>
          <c:showVal val="0"/>
          <c:showCatName val="0"/>
          <c:showSerName val="0"/>
          <c:showPercent val="0"/>
          <c:showBubbleSize val="0"/>
        </c:dLbls>
        <c:gapWidth val="219"/>
        <c:overlap val="-27"/>
        <c:axId val="1736403376"/>
        <c:axId val="1736394736"/>
      </c:barChart>
      <c:catAx>
        <c:axId val="1736403376"/>
        <c:scaling>
          <c:orientation val="minMax"/>
        </c:scaling>
        <c:delete val="0"/>
        <c:axPos val="b"/>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394736"/>
        <c:crosses val="autoZero"/>
        <c:auto val="1"/>
        <c:lblAlgn val="ctr"/>
        <c:lblOffset val="100"/>
        <c:noMultiLvlLbl val="0"/>
      </c:catAx>
      <c:valAx>
        <c:axId val="1736394736"/>
        <c:scaling>
          <c:orientation val="minMax"/>
        </c:scaling>
        <c:delete val="0"/>
        <c:axPos val="l"/>
        <c:majorGridlines>
          <c:spPr>
            <a:ln w="9525" cap="flat" cmpd="sng" algn="ctr">
              <a:no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403376"/>
        <c:crosses val="autoZero"/>
        <c:crossBetween val="between"/>
      </c:valAx>
      <c:spPr>
        <a:noFill/>
        <a:ln w="25400">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89000">
          <a:schemeClr val="bg1">
            <a:lumMod val="95000"/>
          </a:schemeClr>
        </a:gs>
        <a:gs pos="45000">
          <a:schemeClr val="bg1"/>
        </a:gs>
      </a:gsLst>
      <a:lin ang="5400000" scaled="1"/>
    </a:gradFill>
    <a:ln w="111125" cap="flat" cmpd="sng" algn="ctr">
      <a:gradFill>
        <a:gsLst>
          <a:gs pos="11000">
            <a:schemeClr val="accent4">
              <a:lumMod val="68000"/>
            </a:schemeClr>
          </a:gs>
          <a:gs pos="89511">
            <a:srgbClr val="F2F2F2"/>
          </a:gs>
          <a:gs pos="74000">
            <a:schemeClr val="bg1">
              <a:lumMod val="95000"/>
            </a:schemeClr>
          </a:gs>
          <a:gs pos="65000">
            <a:schemeClr val="bg1">
              <a:lumMod val="95000"/>
            </a:schemeClr>
          </a:gs>
        </a:gsLst>
        <a:lin ang="5400000" scaled="1"/>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3"/>
  </c:pivotSource>
  <c:chart>
    <c:title>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95000"/>
            </a:schemeClr>
          </a:solidFill>
          <a:ln w="19050">
            <a:solidFill>
              <a:schemeClr val="lt1"/>
            </a:solidFill>
          </a:ln>
          <a:effectLst/>
        </c:spPr>
      </c:pivotFmt>
      <c:pivotFmt>
        <c:idx val="10"/>
        <c:spPr>
          <a:solidFill>
            <a:schemeClr val="bg2">
              <a:lumMod val="50000"/>
            </a:schemeClr>
          </a:solidFill>
          <a:ln w="19050">
            <a:solidFill>
              <a:schemeClr val="lt1"/>
            </a:solidFill>
          </a:ln>
          <a:effectLst/>
        </c:spPr>
      </c:pivotFmt>
      <c:pivotFmt>
        <c:idx val="11"/>
        <c:spPr>
          <a:solidFill>
            <a:schemeClr val="bg2">
              <a:lumMod val="75000"/>
            </a:schemeClr>
          </a:solidFill>
          <a:ln w="19050">
            <a:solidFill>
              <a:schemeClr val="lt1"/>
            </a:solidFill>
          </a:ln>
          <a:effectLst/>
        </c:spPr>
      </c:pivotFmt>
      <c:pivotFmt>
        <c:idx val="12"/>
        <c:spPr>
          <a:solidFill>
            <a:schemeClr val="bg2">
              <a:lumMod val="90000"/>
            </a:schemeClr>
          </a:solidFill>
          <a:ln w="19050">
            <a:solidFill>
              <a:schemeClr val="lt1"/>
            </a:solidFill>
          </a:ln>
          <a:effectLst/>
        </c:spPr>
      </c:pivotFmt>
      <c:pivotFmt>
        <c:idx val="13"/>
        <c:spPr>
          <a:solidFill>
            <a:schemeClr val="bg2">
              <a:lumMod val="50000"/>
            </a:schemeClr>
          </a:solidFill>
          <a:ln w="19050">
            <a:solidFill>
              <a:schemeClr val="lt1"/>
            </a:solidFill>
          </a:ln>
          <a:effectLst/>
        </c:spPr>
      </c:pivotFmt>
      <c:pivotFmt>
        <c:idx val="14"/>
        <c:spPr>
          <a:solidFill>
            <a:schemeClr val="bg2">
              <a:lumMod val="75000"/>
            </a:schemeClr>
          </a:solidFill>
          <a:ln w="19050">
            <a:solidFill>
              <a:schemeClr val="lt1"/>
            </a:solidFill>
          </a:ln>
          <a:effectLst/>
        </c:spPr>
      </c:pivotFmt>
    </c:pivotFmts>
    <c:plotArea>
      <c:layout>
        <c:manualLayout>
          <c:layoutTarget val="inner"/>
          <c:xMode val="edge"/>
          <c:yMode val="edge"/>
          <c:x val="0.24924882985619309"/>
          <c:y val="4.6050547480685634E-2"/>
          <c:w val="0.31879449600450777"/>
          <c:h val="0.9539494525193144"/>
        </c:manualLayout>
      </c:layout>
      <c:pieChart>
        <c:varyColors val="1"/>
        <c:ser>
          <c:idx val="0"/>
          <c:order val="0"/>
          <c:tx>
            <c:strRef>
              <c:f>Sheet7!$B$3</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9541-4BFF-A77E-466BFA6A6531}"/>
              </c:ext>
            </c:extLst>
          </c:dPt>
          <c:dPt>
            <c:idx val="1"/>
            <c:bubble3D val="0"/>
            <c:explosion val="1"/>
            <c:spPr>
              <a:solidFill>
                <a:schemeClr val="bg2">
                  <a:lumMod val="50000"/>
                </a:schemeClr>
              </a:solidFill>
              <a:ln w="19050">
                <a:solidFill>
                  <a:schemeClr val="lt1"/>
                </a:solidFill>
              </a:ln>
              <a:effectLst/>
            </c:spPr>
            <c:extLst>
              <c:ext xmlns:c16="http://schemas.microsoft.com/office/drawing/2014/chart" uri="{C3380CC4-5D6E-409C-BE32-E72D297353CC}">
                <c16:uniqueId val="{00000003-9541-4BFF-A77E-466BFA6A6531}"/>
              </c:ext>
            </c:extLst>
          </c:dPt>
          <c:dPt>
            <c:idx val="2"/>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5-9541-4BFF-A77E-466BFA6A65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41-4BFF-A77E-466BFA6A65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41-4BFF-A77E-466BFA6A653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41-4BFF-A77E-466BFA6A6531}"/>
              </c:ext>
            </c:extLst>
          </c:dPt>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C-9541-4BFF-A77E-466BFA6A6531}"/>
            </c:ext>
          </c:extLst>
        </c:ser>
        <c:dLbls>
          <c:dLblPos val="bestFit"/>
          <c:showLegendKey val="0"/>
          <c:showVal val="1"/>
          <c:showCatName val="0"/>
          <c:showSerName val="0"/>
          <c:showPercent val="0"/>
          <c:showBubbleSize val="0"/>
          <c:showLeaderLines val="1"/>
        </c:dLbls>
        <c:firstSliceAng val="18"/>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85000"/>
          </a:schemeClr>
        </a:gs>
        <a:gs pos="0">
          <a:schemeClr val="bg1">
            <a:lumMod val="75000"/>
          </a:schemeClr>
        </a:gs>
        <a:gs pos="83000">
          <a:schemeClr val="bg1">
            <a:lumMod val="85000"/>
          </a:schemeClr>
        </a:gs>
        <a:gs pos="100000">
          <a:schemeClr val="bg1">
            <a:lumMod val="85000"/>
          </a:schemeClr>
        </a:gs>
      </a:gsLst>
      <a:lin ang="5400000" scaled="1"/>
    </a:gradFill>
    <a:ln w="88900" cap="flat" cmpd="sng" algn="ctr">
      <a:gradFill flip="none" rotWithShape="1">
        <a:gsLst>
          <a:gs pos="74000">
            <a:schemeClr val="tx1">
              <a:lumMod val="50000"/>
              <a:lumOff val="50000"/>
            </a:schemeClr>
          </a:gs>
          <a:gs pos="91602">
            <a:schemeClr val="bg1">
              <a:lumMod val="75000"/>
            </a:schemeClr>
          </a:gs>
          <a:gs pos="100000">
            <a:schemeClr val="bg1">
              <a:lumMod val="85000"/>
            </a:schemeClr>
          </a:gs>
          <a:gs pos="100000">
            <a:schemeClr val="tx1">
              <a:lumMod val="50000"/>
              <a:lumOff val="50000"/>
            </a:schemeClr>
          </a:gs>
        </a:gsLst>
        <a:lin ang="5400000" scaled="1"/>
        <a:tileRect/>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15AF-4651-9FBE-E13C1A8BEED5}"/>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45719</xdr:rowOff>
    </xdr:from>
    <xdr:to>
      <xdr:col>1</xdr:col>
      <xdr:colOff>154080</xdr:colOff>
      <xdr:row>20</xdr:row>
      <xdr:rowOff>91799</xdr:rowOff>
    </xdr:to>
    <mc:AlternateContent xmlns:mc="http://schemas.openxmlformats.org/markup-compatibility/2006" xmlns:a14="http://schemas.microsoft.com/office/drawing/2010/main">
      <mc:Choice Requires="a14">
        <xdr:graphicFrame macro="">
          <xdr:nvGraphicFramePr>
            <xdr:cNvPr id="2" name="Price Category">
              <a:extLst>
                <a:ext uri="{FF2B5EF4-FFF2-40B4-BE49-F238E27FC236}">
                  <a16:creationId xmlns:a16="http://schemas.microsoft.com/office/drawing/2014/main" id="{0C9D8E08-6B29-D031-83E1-FF939928CB25}"/>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mlns="">
        <xdr:sp macro="" textlink="">
          <xdr:nvSpPr>
            <xdr:cNvPr id="0" name=""/>
            <xdr:cNvSpPr>
              <a:spLocks noTextEdit="1"/>
            </xdr:cNvSpPr>
          </xdr:nvSpPr>
          <xdr:spPr>
            <a:xfrm>
              <a:off x="0" y="2057399"/>
              <a:ext cx="1800000"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739140</xdr:colOff>
      <xdr:row>2</xdr:row>
      <xdr:rowOff>72390</xdr:rowOff>
    </xdr:from>
    <xdr:to>
      <xdr:col>13</xdr:col>
      <xdr:colOff>434340</xdr:colOff>
      <xdr:row>16</xdr:row>
      <xdr:rowOff>152400</xdr:rowOff>
    </xdr:to>
    <xdr:graphicFrame macro="">
      <xdr:nvGraphicFramePr>
        <xdr:cNvPr id="2" name="Chart 1">
          <a:extLst>
            <a:ext uri="{FF2B5EF4-FFF2-40B4-BE49-F238E27FC236}">
              <a16:creationId xmlns:a16="http://schemas.microsoft.com/office/drawing/2014/main" id="{A6C3CF08-137A-D18A-5FA9-8F26F51AE3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76200</xdr:colOff>
      <xdr:row>18</xdr:row>
      <xdr:rowOff>179070</xdr:rowOff>
    </xdr:from>
    <xdr:to>
      <xdr:col>9</xdr:col>
      <xdr:colOff>114300</xdr:colOff>
      <xdr:row>33</xdr:row>
      <xdr:rowOff>179070</xdr:rowOff>
    </xdr:to>
    <xdr:graphicFrame macro="">
      <xdr:nvGraphicFramePr>
        <xdr:cNvPr id="4" name="Chart 3">
          <a:extLst>
            <a:ext uri="{FF2B5EF4-FFF2-40B4-BE49-F238E27FC236}">
              <a16:creationId xmlns:a16="http://schemas.microsoft.com/office/drawing/2014/main" id="{92ED83A6-7553-E65D-18C7-57AECFE74F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38100</xdr:colOff>
      <xdr:row>33</xdr:row>
      <xdr:rowOff>152399</xdr:rowOff>
    </xdr:from>
    <xdr:to>
      <xdr:col>18</xdr:col>
      <xdr:colOff>525300</xdr:colOff>
      <xdr:row>37</xdr:row>
      <xdr:rowOff>140879</xdr:rowOff>
    </xdr:to>
    <mc:AlternateContent xmlns:mc="http://schemas.openxmlformats.org/markup-compatibility/2006" xmlns:a14="http://schemas.microsoft.com/office/drawing/2010/main">
      <mc:Choice Requires="a14">
        <xdr:graphicFrame macro="">
          <xdr:nvGraphicFramePr>
            <xdr:cNvPr id="3" name="Price Category(&gt;=10/&lt;10)">
              <a:extLst>
                <a:ext uri="{FF2B5EF4-FFF2-40B4-BE49-F238E27FC236}">
                  <a16:creationId xmlns:a16="http://schemas.microsoft.com/office/drawing/2014/main" id="{2721CAB0-D641-F66B-1AB7-AC32C7C27D89}"/>
                </a:ext>
              </a:extLst>
            </xdr:cNvPr>
            <xdr:cNvGraphicFramePr/>
          </xdr:nvGraphicFramePr>
          <xdr:xfrm>
            <a:off x="0" y="0"/>
            <a:ext cx="0" cy="0"/>
          </xdr:xfrm>
          <a:graphic>
            <a:graphicData uri="http://schemas.microsoft.com/office/drawing/2010/slicer">
              <sle:slicer xmlns:sle="http://schemas.microsoft.com/office/drawing/2010/slicer" name="Price Category(&gt;=10/&lt;10)"/>
            </a:graphicData>
          </a:graphic>
        </xdr:graphicFrame>
      </mc:Choice>
      <mc:Fallback xmlns="">
        <xdr:sp macro="" textlink="">
          <xdr:nvSpPr>
            <xdr:cNvPr id="0" name=""/>
            <xdr:cNvSpPr>
              <a:spLocks noTextEdit="1"/>
            </xdr:cNvSpPr>
          </xdr:nvSpPr>
          <xdr:spPr>
            <a:xfrm>
              <a:off x="13540740" y="6187439"/>
              <a:ext cx="5364000" cy="72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60960</xdr:colOff>
      <xdr:row>39</xdr:row>
      <xdr:rowOff>7620</xdr:rowOff>
    </xdr:from>
    <xdr:to>
      <xdr:col>25</xdr:col>
      <xdr:colOff>144780</xdr:colOff>
      <xdr:row>53</xdr:row>
      <xdr:rowOff>22860</xdr:rowOff>
    </xdr:to>
    <xdr:graphicFrame macro="">
      <xdr:nvGraphicFramePr>
        <xdr:cNvPr id="5" name="Chart 4">
          <a:extLst>
            <a:ext uri="{FF2B5EF4-FFF2-40B4-BE49-F238E27FC236}">
              <a16:creationId xmlns:a16="http://schemas.microsoft.com/office/drawing/2014/main" id="{32AF2557-C2BD-2287-72CF-48301F75B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731520</xdr:colOff>
      <xdr:row>26</xdr:row>
      <xdr:rowOff>38098</xdr:rowOff>
    </xdr:from>
    <xdr:to>
      <xdr:col>2</xdr:col>
      <xdr:colOff>205740</xdr:colOff>
      <xdr:row>31</xdr:row>
      <xdr:rowOff>30479</xdr:rowOff>
    </xdr:to>
    <mc:AlternateContent xmlns:mc="http://schemas.openxmlformats.org/markup-compatibility/2006" xmlns:a14="http://schemas.microsoft.com/office/drawing/2010/main">
      <mc:Choice Requires="a14">
        <xdr:graphicFrame macro="">
          <xdr:nvGraphicFramePr>
            <xdr:cNvPr id="6" name="Price Category(0-50/&gt;50) 1">
              <a:extLst>
                <a:ext uri="{FF2B5EF4-FFF2-40B4-BE49-F238E27FC236}">
                  <a16:creationId xmlns:a16="http://schemas.microsoft.com/office/drawing/2014/main" id="{26D2B126-3464-CC16-A28B-8BFB36A431AD}"/>
                </a:ext>
              </a:extLst>
            </xdr:cNvPr>
            <xdr:cNvGraphicFramePr/>
          </xdr:nvGraphicFramePr>
          <xdr:xfrm>
            <a:off x="0" y="0"/>
            <a:ext cx="0" cy="0"/>
          </xdr:xfrm>
          <a:graphic>
            <a:graphicData uri="http://schemas.microsoft.com/office/drawing/2010/slicer">
              <sle:slicer xmlns:sle="http://schemas.microsoft.com/office/drawing/2010/slicer" name="Price Category(0-50/&gt;50) 1"/>
            </a:graphicData>
          </a:graphic>
        </xdr:graphicFrame>
      </mc:Choice>
      <mc:Fallback xmlns="">
        <xdr:sp macro="" textlink="">
          <xdr:nvSpPr>
            <xdr:cNvPr id="0" name=""/>
            <xdr:cNvSpPr>
              <a:spLocks noTextEdit="1"/>
            </xdr:cNvSpPr>
          </xdr:nvSpPr>
          <xdr:spPr>
            <a:xfrm>
              <a:off x="731520" y="4792978"/>
              <a:ext cx="1912620" cy="9067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76200</xdr:colOff>
      <xdr:row>2</xdr:row>
      <xdr:rowOff>30480</xdr:rowOff>
    </xdr:from>
    <xdr:to>
      <xdr:col>10</xdr:col>
      <xdr:colOff>381000</xdr:colOff>
      <xdr:row>15</xdr:row>
      <xdr:rowOff>11430</xdr:rowOff>
    </xdr:to>
    <xdr:graphicFrame macro="">
      <xdr:nvGraphicFramePr>
        <xdr:cNvPr id="3" name="Chart 2">
          <a:extLst>
            <a:ext uri="{FF2B5EF4-FFF2-40B4-BE49-F238E27FC236}">
              <a16:creationId xmlns:a16="http://schemas.microsoft.com/office/drawing/2014/main" id="{6BA370D3-7365-F10A-8B5E-14F2E407F4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53340</xdr:colOff>
      <xdr:row>11</xdr:row>
      <xdr:rowOff>167640</xdr:rowOff>
    </xdr:from>
    <xdr:to>
      <xdr:col>2</xdr:col>
      <xdr:colOff>304800</xdr:colOff>
      <xdr:row>25</xdr:row>
      <xdr:rowOff>74295</xdr:rowOff>
    </xdr:to>
    <mc:AlternateContent xmlns:mc="http://schemas.openxmlformats.org/markup-compatibility/2006" xmlns:a14="http://schemas.microsoft.com/office/drawing/2010/main">
      <mc:Choice Requires="a14">
        <xdr:graphicFrame macro="">
          <xdr:nvGraphicFramePr>
            <xdr:cNvPr id="4" name="Price Category(0-50/&gt;50)">
              <a:extLst>
                <a:ext uri="{FF2B5EF4-FFF2-40B4-BE49-F238E27FC236}">
                  <a16:creationId xmlns:a16="http://schemas.microsoft.com/office/drawing/2014/main" id="{93BFADDF-E0F4-466B-77C3-0DEFE75E5343}"/>
                </a:ext>
              </a:extLst>
            </xdr:cNvPr>
            <xdr:cNvGraphicFramePr/>
          </xdr:nvGraphicFramePr>
          <xdr:xfrm>
            <a:off x="0" y="0"/>
            <a:ext cx="0" cy="0"/>
          </xdr:xfrm>
          <a:graphic>
            <a:graphicData uri="http://schemas.microsoft.com/office/drawing/2010/slicer">
              <sle:slicer xmlns:sle="http://schemas.microsoft.com/office/drawing/2010/slicer" name="Price Category(0-50/&gt;50)"/>
            </a:graphicData>
          </a:graphic>
        </xdr:graphicFrame>
      </mc:Choice>
      <mc:Fallback xmlns="">
        <xdr:sp macro="" textlink="">
          <xdr:nvSpPr>
            <xdr:cNvPr id="0" name=""/>
            <xdr:cNvSpPr>
              <a:spLocks noTextEdit="1"/>
            </xdr:cNvSpPr>
          </xdr:nvSpPr>
          <xdr:spPr>
            <a:xfrm>
              <a:off x="914400" y="21793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83820</xdr:colOff>
      <xdr:row>1</xdr:row>
      <xdr:rowOff>171450</xdr:rowOff>
    </xdr:from>
    <xdr:to>
      <xdr:col>12</xdr:col>
      <xdr:colOff>60960</xdr:colOff>
      <xdr:row>16</xdr:row>
      <xdr:rowOff>15240</xdr:rowOff>
    </xdr:to>
    <xdr:graphicFrame macro="">
      <xdr:nvGraphicFramePr>
        <xdr:cNvPr id="2" name="LiquidityChart" hidden="1">
          <a:extLst>
            <a:ext uri="{FF2B5EF4-FFF2-40B4-BE49-F238E27FC236}">
              <a16:creationId xmlns:a16="http://schemas.microsoft.com/office/drawing/2014/main" id="{73ADC53D-FACF-024C-B4DC-37586CEEE4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3</xdr:row>
      <xdr:rowOff>1</xdr:rowOff>
    </xdr:from>
    <xdr:to>
      <xdr:col>17</xdr:col>
      <xdr:colOff>241905</xdr:colOff>
      <xdr:row>20</xdr:row>
      <xdr:rowOff>48382</xdr:rowOff>
    </xdr:to>
    <xdr:graphicFrame macro="">
      <xdr:nvGraphicFramePr>
        <xdr:cNvPr id="3" name="LIQUIDITYY">
          <a:extLst>
            <a:ext uri="{FF2B5EF4-FFF2-40B4-BE49-F238E27FC236}">
              <a16:creationId xmlns:a16="http://schemas.microsoft.com/office/drawing/2014/main" id="{28BC25BC-7929-4C76-ADCE-243E04A736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53486</xdr:colOff>
      <xdr:row>2</xdr:row>
      <xdr:rowOff>68322</xdr:rowOff>
    </xdr:from>
    <xdr:to>
      <xdr:col>6</xdr:col>
      <xdr:colOff>315148</xdr:colOff>
      <xdr:row>3</xdr:row>
      <xdr:rowOff>258793</xdr:rowOff>
    </xdr:to>
    <xdr:sp macro="" textlink="KPI!A4">
      <xdr:nvSpPr>
        <xdr:cNvPr id="2" name="Rectangle: Rounded Corners 1">
          <a:extLst>
            <a:ext uri="{FF2B5EF4-FFF2-40B4-BE49-F238E27FC236}">
              <a16:creationId xmlns:a16="http://schemas.microsoft.com/office/drawing/2014/main" id="{46464BBE-FB33-4BEB-BA09-366BEFE5654B}"/>
            </a:ext>
          </a:extLst>
        </xdr:cNvPr>
        <xdr:cNvSpPr/>
      </xdr:nvSpPr>
      <xdr:spPr>
        <a:xfrm>
          <a:off x="2210090" y="1980511"/>
          <a:ext cx="6055737" cy="607414"/>
        </a:xfrm>
        <a:prstGeom prst="roundRect">
          <a:avLst/>
        </a:prstGeom>
        <a:solidFill>
          <a:schemeClr val="bg1">
            <a:lumMod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FD5A2378-437E-4F80-8437-6F6DD95FF622}" type="TxLink">
            <a:rPr lang="en-US" sz="2800" b="1" i="0" u="none" strike="noStrike">
              <a:solidFill>
                <a:schemeClr val="tx1"/>
              </a:solidFill>
              <a:latin typeface="Calibri"/>
              <a:ea typeface="Calibri"/>
              <a:cs typeface="Calibri"/>
            </a:rPr>
            <a:pPr algn="r"/>
            <a:t>Acurast</a:t>
          </a:fld>
          <a:endParaRPr lang="en-IN" sz="2800" b="1">
            <a:solidFill>
              <a:schemeClr val="tx1"/>
            </a:solidFill>
          </a:endParaRPr>
        </a:p>
      </xdr:txBody>
    </xdr:sp>
    <xdr:clientData/>
  </xdr:twoCellAnchor>
  <xdr:twoCellAnchor>
    <xdr:from>
      <xdr:col>2</xdr:col>
      <xdr:colOff>63500</xdr:colOff>
      <xdr:row>5</xdr:row>
      <xdr:rowOff>215660</xdr:rowOff>
    </xdr:from>
    <xdr:to>
      <xdr:col>6</xdr:col>
      <xdr:colOff>292689</xdr:colOff>
      <xdr:row>7</xdr:row>
      <xdr:rowOff>42333</xdr:rowOff>
    </xdr:to>
    <xdr:sp macro="" textlink="KPI!C4">
      <xdr:nvSpPr>
        <xdr:cNvPr id="8" name="Rectangle: Rounded Corners 7">
          <a:extLst>
            <a:ext uri="{FF2B5EF4-FFF2-40B4-BE49-F238E27FC236}">
              <a16:creationId xmlns:a16="http://schemas.microsoft.com/office/drawing/2014/main" id="{64D63B16-4D93-40D9-BCAC-D47D0A98A00A}"/>
            </a:ext>
          </a:extLst>
        </xdr:cNvPr>
        <xdr:cNvSpPr/>
      </xdr:nvSpPr>
      <xdr:spPr>
        <a:xfrm>
          <a:off x="2222500" y="3369493"/>
          <a:ext cx="6050022" cy="546340"/>
        </a:xfrm>
        <a:prstGeom prst="round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9EB1A58B-3806-44D3-ACFA-CC5B7A812C67}" type="TxLink">
            <a:rPr lang="en-US" sz="2800" b="1" i="0" u="none" strike="noStrike">
              <a:solidFill>
                <a:schemeClr val="tx1"/>
              </a:solidFill>
              <a:latin typeface="Calibri"/>
              <a:ea typeface="Calibri"/>
              <a:cs typeface="Calibri"/>
            </a:rPr>
            <a:pPr algn="r"/>
            <a:t>0.1103</a:t>
          </a:fld>
          <a:endParaRPr lang="en-US" sz="2800" b="1" i="0" u="none" strike="noStrike">
            <a:solidFill>
              <a:schemeClr val="tx1"/>
            </a:solidFill>
            <a:latin typeface="Calibri"/>
            <a:ea typeface="Calibri"/>
            <a:cs typeface="Calibri"/>
          </a:endParaRPr>
        </a:p>
      </xdr:txBody>
    </xdr:sp>
    <xdr:clientData/>
  </xdr:twoCellAnchor>
  <xdr:twoCellAnchor>
    <xdr:from>
      <xdr:col>2</xdr:col>
      <xdr:colOff>59781</xdr:colOff>
      <xdr:row>7</xdr:row>
      <xdr:rowOff>129397</xdr:rowOff>
    </xdr:from>
    <xdr:to>
      <xdr:col>6</xdr:col>
      <xdr:colOff>321443</xdr:colOff>
      <xdr:row>9</xdr:row>
      <xdr:rowOff>57510</xdr:rowOff>
    </xdr:to>
    <xdr:sp macro="" textlink="KPI!B4">
      <xdr:nvSpPr>
        <xdr:cNvPr id="10" name="Rectangle: Rounded Corners 9">
          <a:extLst>
            <a:ext uri="{FF2B5EF4-FFF2-40B4-BE49-F238E27FC236}">
              <a16:creationId xmlns:a16="http://schemas.microsoft.com/office/drawing/2014/main" id="{8BF84168-BFC4-4B6C-A411-93BBC93DE83D}"/>
            </a:ext>
          </a:extLst>
        </xdr:cNvPr>
        <xdr:cNvSpPr/>
      </xdr:nvSpPr>
      <xdr:spPr>
        <a:xfrm>
          <a:off x="2216385" y="3996906"/>
          <a:ext cx="6055737" cy="646981"/>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83FFBDFA-D87B-4A5B-8759-1BB85FD6A757}" type="TxLink">
            <a:rPr lang="en-US" sz="2800" b="1" i="0" u="none" strike="noStrike">
              <a:solidFill>
                <a:schemeClr val="tx1"/>
              </a:solidFill>
              <a:latin typeface="Calibri"/>
              <a:ea typeface="Calibri"/>
              <a:cs typeface="Calibri"/>
            </a:rPr>
            <a:pPr algn="r"/>
            <a:t>3.90%</a:t>
          </a:fld>
          <a:endParaRPr lang="en-IN" sz="2800" b="1">
            <a:solidFill>
              <a:schemeClr val="tx1"/>
            </a:solidFill>
          </a:endParaRPr>
        </a:p>
      </xdr:txBody>
    </xdr:sp>
    <xdr:clientData/>
  </xdr:twoCellAnchor>
  <xdr:twoCellAnchor>
    <xdr:from>
      <xdr:col>2</xdr:col>
      <xdr:colOff>59783</xdr:colOff>
      <xdr:row>3</xdr:row>
      <xdr:rowOff>327116</xdr:rowOff>
    </xdr:from>
    <xdr:to>
      <xdr:col>6</xdr:col>
      <xdr:colOff>321445</xdr:colOff>
      <xdr:row>5</xdr:row>
      <xdr:rowOff>158151</xdr:rowOff>
    </xdr:to>
    <xdr:sp macro="" textlink="">
      <xdr:nvSpPr>
        <xdr:cNvPr id="15" name="Rectangle: Rounded Corners 14">
          <a:extLst>
            <a:ext uri="{FF2B5EF4-FFF2-40B4-BE49-F238E27FC236}">
              <a16:creationId xmlns:a16="http://schemas.microsoft.com/office/drawing/2014/main" id="{CB4FDD4D-F9F3-4A26-895C-543B0C6E19D2}"/>
            </a:ext>
          </a:extLst>
        </xdr:cNvPr>
        <xdr:cNvSpPr/>
      </xdr:nvSpPr>
      <xdr:spPr>
        <a:xfrm>
          <a:off x="2216387" y="2656248"/>
          <a:ext cx="6055737" cy="650545"/>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r>
            <a:rPr lang="en-US" sz="2800" b="1">
              <a:solidFill>
                <a:schemeClr val="tx1"/>
              </a:solidFill>
            </a:rPr>
            <a:t>ACU</a:t>
          </a:r>
        </a:p>
      </xdr:txBody>
    </xdr:sp>
    <xdr:clientData/>
  </xdr:twoCellAnchor>
  <xdr:twoCellAnchor>
    <xdr:from>
      <xdr:col>2</xdr:col>
      <xdr:colOff>52131</xdr:colOff>
      <xdr:row>9</xdr:row>
      <xdr:rowOff>129398</xdr:rowOff>
    </xdr:from>
    <xdr:to>
      <xdr:col>6</xdr:col>
      <xdr:colOff>313793</xdr:colOff>
      <xdr:row>11</xdr:row>
      <xdr:rowOff>215661</xdr:rowOff>
    </xdr:to>
    <xdr:sp macro="" textlink="KPI!E8">
      <xdr:nvSpPr>
        <xdr:cNvPr id="17" name="Rectangle: Rounded Corners 16">
          <a:extLst>
            <a:ext uri="{FF2B5EF4-FFF2-40B4-BE49-F238E27FC236}">
              <a16:creationId xmlns:a16="http://schemas.microsoft.com/office/drawing/2014/main" id="{DD65D7C5-F0E8-4AD1-8056-0414E04A3A5F}"/>
            </a:ext>
          </a:extLst>
        </xdr:cNvPr>
        <xdr:cNvSpPr/>
      </xdr:nvSpPr>
      <xdr:spPr>
        <a:xfrm>
          <a:off x="2208735" y="4715775"/>
          <a:ext cx="6055737" cy="646980"/>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B34BA063-FF41-4765-AD31-AB62D0BDC09E}" type="TxLink">
            <a:rPr lang="en-US" sz="2800" b="1" i="0" u="none" strike="noStrike">
              <a:solidFill>
                <a:schemeClr val="tx1"/>
              </a:solidFill>
              <a:latin typeface="Calibri"/>
              <a:ea typeface="Calibri"/>
              <a:cs typeface="Calibri"/>
            </a:rPr>
            <a:pPr algn="r"/>
            <a:t>62</a:t>
          </a:fld>
          <a:endParaRPr lang="en-IN" sz="2800" b="1">
            <a:solidFill>
              <a:schemeClr val="tx1"/>
            </a:solidFill>
          </a:endParaRPr>
        </a:p>
      </xdr:txBody>
    </xdr:sp>
    <xdr:clientData/>
  </xdr:twoCellAnchor>
  <xdr:twoCellAnchor editAs="oneCell">
    <xdr:from>
      <xdr:col>6</xdr:col>
      <xdr:colOff>745435</xdr:colOff>
      <xdr:row>2</xdr:row>
      <xdr:rowOff>49696</xdr:rowOff>
    </xdr:from>
    <xdr:to>
      <xdr:col>11</xdr:col>
      <xdr:colOff>397565</xdr:colOff>
      <xdr:row>11</xdr:row>
      <xdr:rowOff>152407</xdr:rowOff>
    </xdr:to>
    <mc:AlternateContent xmlns:mc="http://schemas.openxmlformats.org/markup-compatibility/2006" xmlns:a14="http://schemas.microsoft.com/office/drawing/2010/main">
      <mc:Choice Requires="a14">
        <xdr:graphicFrame macro="">
          <xdr:nvGraphicFramePr>
            <xdr:cNvPr id="19" name="Price Category 1">
              <a:extLst>
                <a:ext uri="{FF2B5EF4-FFF2-40B4-BE49-F238E27FC236}">
                  <a16:creationId xmlns:a16="http://schemas.microsoft.com/office/drawing/2014/main" id="{BE013ACC-E67A-4BDE-88D7-19C5BA9BAC57}"/>
                </a:ext>
              </a:extLst>
            </xdr:cNvPr>
            <xdr:cNvGraphicFramePr/>
          </xdr:nvGraphicFramePr>
          <xdr:xfrm>
            <a:off x="0" y="0"/>
            <a:ext cx="0" cy="0"/>
          </xdr:xfrm>
          <a:graphic>
            <a:graphicData uri="http://schemas.microsoft.com/office/drawing/2010/slicer">
              <sle:slicer xmlns:sle="http://schemas.microsoft.com/office/drawing/2010/slicer" name="Price Category 1"/>
            </a:graphicData>
          </a:graphic>
        </xdr:graphicFrame>
      </mc:Choice>
      <mc:Fallback xmlns="">
        <xdr:sp macro="" textlink="">
          <xdr:nvSpPr>
            <xdr:cNvPr id="0" name=""/>
            <xdr:cNvSpPr>
              <a:spLocks noTextEdit="1"/>
            </xdr:cNvSpPr>
          </xdr:nvSpPr>
          <xdr:spPr>
            <a:xfrm>
              <a:off x="8807009" y="2101200"/>
              <a:ext cx="2723282" cy="32551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78022</xdr:colOff>
      <xdr:row>12</xdr:row>
      <xdr:rowOff>0</xdr:rowOff>
    </xdr:from>
    <xdr:to>
      <xdr:col>22</xdr:col>
      <xdr:colOff>395110</xdr:colOff>
      <xdr:row>17</xdr:row>
      <xdr:rowOff>7420</xdr:rowOff>
    </xdr:to>
    <mc:AlternateContent xmlns:mc="http://schemas.openxmlformats.org/markup-compatibility/2006" xmlns:a14="http://schemas.microsoft.com/office/drawing/2010/main">
      <mc:Choice Requires="a14">
        <xdr:graphicFrame macro="">
          <xdr:nvGraphicFramePr>
            <xdr:cNvPr id="22" name="Price Category(&gt;=10/&lt;10) 1">
              <a:extLst>
                <a:ext uri="{FF2B5EF4-FFF2-40B4-BE49-F238E27FC236}">
                  <a16:creationId xmlns:a16="http://schemas.microsoft.com/office/drawing/2014/main" id="{03BBFB20-719A-4E55-A121-A47319528167}"/>
                </a:ext>
              </a:extLst>
            </xdr:cNvPr>
            <xdr:cNvGraphicFramePr/>
          </xdr:nvGraphicFramePr>
          <xdr:xfrm>
            <a:off x="0" y="0"/>
            <a:ext cx="0" cy="0"/>
          </xdr:xfrm>
          <a:graphic>
            <a:graphicData uri="http://schemas.microsoft.com/office/drawing/2010/slicer">
              <sle:slicer xmlns:sle="http://schemas.microsoft.com/office/drawing/2010/slicer" name="Price Category(&gt;=10/&lt;10) 1"/>
            </a:graphicData>
          </a:graphic>
        </xdr:graphicFrame>
      </mc:Choice>
      <mc:Fallback xmlns="">
        <xdr:sp macro="" textlink="">
          <xdr:nvSpPr>
            <xdr:cNvPr id="0" name=""/>
            <xdr:cNvSpPr>
              <a:spLocks noTextEdit="1"/>
            </xdr:cNvSpPr>
          </xdr:nvSpPr>
          <xdr:spPr>
            <a:xfrm>
              <a:off x="2252511" y="5649951"/>
              <a:ext cx="22748267" cy="9366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143773</xdr:colOff>
      <xdr:row>21</xdr:row>
      <xdr:rowOff>71887</xdr:rowOff>
    </xdr:from>
    <xdr:to>
      <xdr:col>11</xdr:col>
      <xdr:colOff>145143</xdr:colOff>
      <xdr:row>42</xdr:row>
      <xdr:rowOff>0</xdr:rowOff>
    </xdr:to>
    <xdr:graphicFrame macro="">
      <xdr:nvGraphicFramePr>
        <xdr:cNvPr id="4" name="Chart 3">
          <a:extLst>
            <a:ext uri="{FF2B5EF4-FFF2-40B4-BE49-F238E27FC236}">
              <a16:creationId xmlns:a16="http://schemas.microsoft.com/office/drawing/2014/main" id="{20B93834-B2F9-44F5-A6FA-35AEEB178E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526142</xdr:colOff>
      <xdr:row>21</xdr:row>
      <xdr:rowOff>28755</xdr:rowOff>
    </xdr:from>
    <xdr:to>
      <xdr:col>23</xdr:col>
      <xdr:colOff>580571</xdr:colOff>
      <xdr:row>42</xdr:row>
      <xdr:rowOff>0</xdr:rowOff>
    </xdr:to>
    <xdr:graphicFrame macro="">
      <xdr:nvGraphicFramePr>
        <xdr:cNvPr id="5" name="Chart 4">
          <a:extLst>
            <a:ext uri="{FF2B5EF4-FFF2-40B4-BE49-F238E27FC236}">
              <a16:creationId xmlns:a16="http://schemas.microsoft.com/office/drawing/2014/main" id="{FCFF272A-0A8E-4651-BE6A-954138DF12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159657</xdr:colOff>
      <xdr:row>50</xdr:row>
      <xdr:rowOff>31205</xdr:rowOff>
    </xdr:from>
    <xdr:to>
      <xdr:col>11</xdr:col>
      <xdr:colOff>395514</xdr:colOff>
      <xdr:row>70</xdr:row>
      <xdr:rowOff>61686</xdr:rowOff>
    </xdr:to>
    <xdr:graphicFrame macro="">
      <xdr:nvGraphicFramePr>
        <xdr:cNvPr id="12" name="Chart 11">
          <a:extLst>
            <a:ext uri="{FF2B5EF4-FFF2-40B4-BE49-F238E27FC236}">
              <a16:creationId xmlns:a16="http://schemas.microsoft.com/office/drawing/2014/main" id="{BE448295-FE70-4BF8-A7C3-26614CAF0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151063</xdr:colOff>
      <xdr:row>43</xdr:row>
      <xdr:rowOff>130858</xdr:rowOff>
    </xdr:from>
    <xdr:to>
      <xdr:col>11</xdr:col>
      <xdr:colOff>355770</xdr:colOff>
      <xdr:row>45</xdr:row>
      <xdr:rowOff>122154</xdr:rowOff>
    </xdr:to>
    <mc:AlternateContent xmlns:mc="http://schemas.openxmlformats.org/markup-compatibility/2006" xmlns:a14="http://schemas.microsoft.com/office/drawing/2010/main">
      <mc:Choice Requires="a14">
        <xdr:graphicFrame macro="">
          <xdr:nvGraphicFramePr>
            <xdr:cNvPr id="13" name="Price Category(0-50/&gt;50) 2">
              <a:extLst>
                <a:ext uri="{FF2B5EF4-FFF2-40B4-BE49-F238E27FC236}">
                  <a16:creationId xmlns:a16="http://schemas.microsoft.com/office/drawing/2014/main" id="{81BB8373-D297-4151-B7CD-22B11008D902}"/>
                </a:ext>
              </a:extLst>
            </xdr:cNvPr>
            <xdr:cNvGraphicFramePr/>
          </xdr:nvGraphicFramePr>
          <xdr:xfrm>
            <a:off x="0" y="0"/>
            <a:ext cx="0" cy="0"/>
          </xdr:xfrm>
          <a:graphic>
            <a:graphicData uri="http://schemas.microsoft.com/office/drawing/2010/slicer">
              <sle:slicer xmlns:sle="http://schemas.microsoft.com/office/drawing/2010/slicer" name="Price Category(0-50/&gt;50) 2"/>
            </a:graphicData>
          </a:graphic>
        </xdr:graphicFrame>
      </mc:Choice>
      <mc:Fallback xmlns="">
        <xdr:sp macro="" textlink="">
          <xdr:nvSpPr>
            <xdr:cNvPr id="0" name=""/>
            <xdr:cNvSpPr>
              <a:spLocks noTextEdit="1"/>
            </xdr:cNvSpPr>
          </xdr:nvSpPr>
          <xdr:spPr>
            <a:xfrm>
              <a:off x="2325551" y="11542273"/>
              <a:ext cx="9962024" cy="8462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708661</xdr:colOff>
      <xdr:row>45</xdr:row>
      <xdr:rowOff>158751</xdr:rowOff>
    </xdr:from>
    <xdr:to>
      <xdr:col>23</xdr:col>
      <xdr:colOff>381000</xdr:colOff>
      <xdr:row>70</xdr:row>
      <xdr:rowOff>9435</xdr:rowOff>
    </xdr:to>
    <xdr:graphicFrame macro="">
      <xdr:nvGraphicFramePr>
        <xdr:cNvPr id="6" name="LIQUIDITYY">
          <a:extLst>
            <a:ext uri="{FF2B5EF4-FFF2-40B4-BE49-F238E27FC236}">
              <a16:creationId xmlns:a16="http://schemas.microsoft.com/office/drawing/2014/main" id="{4F014F7A-34E5-4267-83E5-A75A83551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282222</xdr:colOff>
      <xdr:row>17</xdr:row>
      <xdr:rowOff>117231</xdr:rowOff>
    </xdr:from>
    <xdr:to>
      <xdr:col>23</xdr:col>
      <xdr:colOff>518160</xdr:colOff>
      <xdr:row>20</xdr:row>
      <xdr:rowOff>53145</xdr:rowOff>
    </xdr:to>
    <xdr:sp macro="" textlink="Sheet3!L56">
      <xdr:nvSpPr>
        <xdr:cNvPr id="21" name="Rectangle: Rounded Corners 20">
          <a:extLst>
            <a:ext uri="{FF2B5EF4-FFF2-40B4-BE49-F238E27FC236}">
              <a16:creationId xmlns:a16="http://schemas.microsoft.com/office/drawing/2014/main" id="{BC106C34-2252-9E65-279D-2E5312C22162}"/>
            </a:ext>
          </a:extLst>
        </xdr:cNvPr>
        <xdr:cNvSpPr/>
      </xdr:nvSpPr>
      <xdr:spPr>
        <a:xfrm>
          <a:off x="19703453" y="6818923"/>
          <a:ext cx="5081476" cy="463453"/>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E0E530C-5442-4FEB-80B9-FE5B2F16DBC7}" type="TxLink">
            <a:rPr lang="en-US" sz="1800" b="1" i="0" u="none" strike="noStrike">
              <a:solidFill>
                <a:srgbClr val="000000"/>
              </a:solidFill>
              <a:latin typeface="Calibri"/>
              <a:ea typeface="Calibri"/>
              <a:cs typeface="Calibri"/>
            </a:rPr>
            <a:pPr algn="r"/>
            <a:t>20.4257</a:t>
          </a:fld>
          <a:endParaRPr lang="en-IN" sz="1800" b="1"/>
        </a:p>
      </xdr:txBody>
    </xdr:sp>
    <xdr:clientData/>
  </xdr:twoCellAnchor>
  <xdr:twoCellAnchor>
    <xdr:from>
      <xdr:col>15</xdr:col>
      <xdr:colOff>282222</xdr:colOff>
      <xdr:row>17</xdr:row>
      <xdr:rowOff>123439</xdr:rowOff>
    </xdr:from>
    <xdr:to>
      <xdr:col>21</xdr:col>
      <xdr:colOff>93699</xdr:colOff>
      <xdr:row>20</xdr:row>
      <xdr:rowOff>54272</xdr:rowOff>
    </xdr:to>
    <xdr:sp macro="" textlink="">
      <xdr:nvSpPr>
        <xdr:cNvPr id="23" name="Rectangle: Rounded Corners 22">
          <a:extLst>
            <a:ext uri="{FF2B5EF4-FFF2-40B4-BE49-F238E27FC236}">
              <a16:creationId xmlns:a16="http://schemas.microsoft.com/office/drawing/2014/main" id="{88BA697E-B707-8279-B741-F2B1069ADF43}"/>
            </a:ext>
          </a:extLst>
        </xdr:cNvPr>
        <xdr:cNvSpPr/>
      </xdr:nvSpPr>
      <xdr:spPr>
        <a:xfrm>
          <a:off x="19703453" y="6825131"/>
          <a:ext cx="3445631" cy="458372"/>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Avg 1h Price Change</a:t>
          </a:r>
        </a:p>
      </xdr:txBody>
    </xdr:sp>
    <xdr:clientData/>
  </xdr:twoCellAnchor>
  <xdr:twoCellAnchor>
    <xdr:from>
      <xdr:col>15</xdr:col>
      <xdr:colOff>149087</xdr:colOff>
      <xdr:row>3</xdr:row>
      <xdr:rowOff>215660</xdr:rowOff>
    </xdr:from>
    <xdr:to>
      <xdr:col>23</xdr:col>
      <xdr:colOff>563218</xdr:colOff>
      <xdr:row>5</xdr:row>
      <xdr:rowOff>172528</xdr:rowOff>
    </xdr:to>
    <xdr:sp macro="" textlink="$AB$4">
      <xdr:nvSpPr>
        <xdr:cNvPr id="7" name="Rectangle: Rounded Corners 6">
          <a:extLst>
            <a:ext uri="{FF2B5EF4-FFF2-40B4-BE49-F238E27FC236}">
              <a16:creationId xmlns:a16="http://schemas.microsoft.com/office/drawing/2014/main" id="{E17415E2-A300-D9D6-03C4-DC08ACEF450C}"/>
            </a:ext>
          </a:extLst>
        </xdr:cNvPr>
        <xdr:cNvSpPr/>
      </xdr:nvSpPr>
      <xdr:spPr>
        <a:xfrm>
          <a:off x="19795435" y="2551356"/>
          <a:ext cx="5317435" cy="785129"/>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CA145ED-72E2-47D7-BBF0-6C1888AF1DEA}" type="TxLink">
            <a:rPr lang="en-US" sz="2000" b="1" i="0" u="none" strike="noStrike">
              <a:solidFill>
                <a:schemeClr val="tx1"/>
              </a:solidFill>
              <a:latin typeface="Calibri"/>
              <a:ea typeface="Calibri"/>
              <a:cs typeface="Calibri"/>
            </a:rPr>
            <a:pPr algn="r"/>
            <a:t>24,08,30,44,001</a:t>
          </a:fld>
          <a:endParaRPr lang="en-IN" sz="2000" b="1">
            <a:solidFill>
              <a:schemeClr val="tx1"/>
            </a:solidFill>
          </a:endParaRPr>
        </a:p>
      </xdr:txBody>
    </xdr:sp>
    <xdr:clientData/>
  </xdr:twoCellAnchor>
  <xdr:twoCellAnchor>
    <xdr:from>
      <xdr:col>15</xdr:col>
      <xdr:colOff>132523</xdr:colOff>
      <xdr:row>6</xdr:row>
      <xdr:rowOff>84666</xdr:rowOff>
    </xdr:from>
    <xdr:to>
      <xdr:col>23</xdr:col>
      <xdr:colOff>561615</xdr:colOff>
      <xdr:row>8</xdr:row>
      <xdr:rowOff>100641</xdr:rowOff>
    </xdr:to>
    <xdr:sp macro="" textlink="$AB$5">
      <xdr:nvSpPr>
        <xdr:cNvPr id="14" name="Rectangle: Rounded Corners 13">
          <a:extLst>
            <a:ext uri="{FF2B5EF4-FFF2-40B4-BE49-F238E27FC236}">
              <a16:creationId xmlns:a16="http://schemas.microsoft.com/office/drawing/2014/main" id="{622BBD69-C8D5-4F7E-BD57-82B21BC6BEF0}"/>
            </a:ext>
          </a:extLst>
        </xdr:cNvPr>
        <xdr:cNvSpPr/>
      </xdr:nvSpPr>
      <xdr:spPr>
        <a:xfrm>
          <a:off x="19778871" y="3613057"/>
          <a:ext cx="5332396" cy="74484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2D7FA9D5-C603-4311-AC78-997FB56A5A06}" type="TxLink">
            <a:rPr lang="en-US" sz="2000" b="1" i="0" u="none" strike="noStrike">
              <a:solidFill>
                <a:schemeClr val="tx1"/>
              </a:solidFill>
              <a:latin typeface="Calibri"/>
              <a:ea typeface="Calibri"/>
              <a:cs typeface="Calibri"/>
            </a:rPr>
            <a:pPr algn="r"/>
            <a:t>11,13,39,07,56,048</a:t>
          </a:fld>
          <a:endParaRPr lang="en-IN" sz="2000" b="1">
            <a:solidFill>
              <a:schemeClr val="tx1"/>
            </a:solidFill>
          </a:endParaRPr>
        </a:p>
      </xdr:txBody>
    </xdr:sp>
    <xdr:clientData/>
  </xdr:twoCellAnchor>
  <xdr:twoCellAnchor>
    <xdr:from>
      <xdr:col>15</xdr:col>
      <xdr:colOff>132522</xdr:colOff>
      <xdr:row>8</xdr:row>
      <xdr:rowOff>347869</xdr:rowOff>
    </xdr:from>
    <xdr:to>
      <xdr:col>23</xdr:col>
      <xdr:colOff>540773</xdr:colOff>
      <xdr:row>11</xdr:row>
      <xdr:rowOff>201282</xdr:rowOff>
    </xdr:to>
    <xdr:sp macro="" textlink="$AB$6">
      <xdr:nvSpPr>
        <xdr:cNvPr id="20" name="Rectangle: Rounded Corners 19">
          <a:extLst>
            <a:ext uri="{FF2B5EF4-FFF2-40B4-BE49-F238E27FC236}">
              <a16:creationId xmlns:a16="http://schemas.microsoft.com/office/drawing/2014/main" id="{E452EBDB-7FC3-4414-895D-FA8A0C6711DB}"/>
            </a:ext>
          </a:extLst>
        </xdr:cNvPr>
        <xdr:cNvSpPr/>
      </xdr:nvSpPr>
      <xdr:spPr>
        <a:xfrm>
          <a:off x="19778870" y="4605130"/>
          <a:ext cx="5311555" cy="78106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9698421-80F1-4528-86B5-447876AE2517}" type="TxLink">
            <a:rPr lang="en-US" sz="2000" b="1" i="0" u="none" strike="noStrike">
              <a:solidFill>
                <a:schemeClr val="tx1"/>
              </a:solidFill>
              <a:latin typeface="Calibri"/>
              <a:ea typeface="Calibri"/>
              <a:cs typeface="Calibri"/>
            </a:rPr>
            <a:pPr algn="r"/>
            <a:t>10,07,00,000</a:t>
          </a:fld>
          <a:endParaRPr lang="en-IN" sz="2000" b="1">
            <a:solidFill>
              <a:schemeClr val="tx1"/>
            </a:solidFill>
          </a:endParaRPr>
        </a:p>
      </xdr:txBody>
    </xdr:sp>
    <xdr:clientData/>
  </xdr:twoCellAnchor>
  <xdr:twoCellAnchor>
    <xdr:from>
      <xdr:col>15</xdr:col>
      <xdr:colOff>157251</xdr:colOff>
      <xdr:row>3</xdr:row>
      <xdr:rowOff>281920</xdr:rowOff>
    </xdr:from>
    <xdr:to>
      <xdr:col>20</xdr:col>
      <xdr:colOff>165652</xdr:colOff>
      <xdr:row>5</xdr:row>
      <xdr:rowOff>166902</xdr:rowOff>
    </xdr:to>
    <xdr:sp macro="" textlink="">
      <xdr:nvSpPr>
        <xdr:cNvPr id="24" name="Rectangle: Rounded Corners 23">
          <a:extLst>
            <a:ext uri="{FF2B5EF4-FFF2-40B4-BE49-F238E27FC236}">
              <a16:creationId xmlns:a16="http://schemas.microsoft.com/office/drawing/2014/main" id="{E9D0E233-2BAA-C41A-8659-5F9D9D3A6A64}"/>
            </a:ext>
          </a:extLst>
        </xdr:cNvPr>
        <xdr:cNvSpPr/>
      </xdr:nvSpPr>
      <xdr:spPr>
        <a:xfrm>
          <a:off x="19803599" y="2617616"/>
          <a:ext cx="3072966" cy="71324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Volume</a:t>
          </a:r>
          <a:r>
            <a:rPr lang="en-IN" sz="2400" b="1" baseline="0">
              <a:solidFill>
                <a:schemeClr val="tx1"/>
              </a:solidFill>
            </a:rPr>
            <a:t> </a:t>
          </a:r>
          <a:r>
            <a:rPr lang="en-IN" sz="2000" b="1" baseline="0">
              <a:solidFill>
                <a:schemeClr val="tx1"/>
              </a:solidFill>
            </a:rPr>
            <a:t>Difference</a:t>
          </a:r>
          <a:endParaRPr lang="en-IN" sz="2400" b="1">
            <a:solidFill>
              <a:schemeClr val="tx1"/>
            </a:solidFill>
          </a:endParaRPr>
        </a:p>
      </xdr:txBody>
    </xdr:sp>
    <xdr:clientData/>
  </xdr:twoCellAnchor>
  <xdr:twoCellAnchor>
    <xdr:from>
      <xdr:col>15</xdr:col>
      <xdr:colOff>132835</xdr:colOff>
      <xdr:row>6</xdr:row>
      <xdr:rowOff>112830</xdr:rowOff>
    </xdr:from>
    <xdr:to>
      <xdr:col>20</xdr:col>
      <xdr:colOff>165652</xdr:colOff>
      <xdr:row>8</xdr:row>
      <xdr:rowOff>99391</xdr:rowOff>
    </xdr:to>
    <xdr:sp macro="" textlink="">
      <xdr:nvSpPr>
        <xdr:cNvPr id="26" name="Rectangle: Rounded Corners 25">
          <a:extLst>
            <a:ext uri="{FF2B5EF4-FFF2-40B4-BE49-F238E27FC236}">
              <a16:creationId xmlns:a16="http://schemas.microsoft.com/office/drawing/2014/main" id="{24087D74-F6EB-3F28-3CBC-2030B5A0FF1A}"/>
            </a:ext>
          </a:extLst>
        </xdr:cNvPr>
        <xdr:cNvSpPr/>
      </xdr:nvSpPr>
      <xdr:spPr>
        <a:xfrm>
          <a:off x="19779183" y="3641221"/>
          <a:ext cx="3097382" cy="715431"/>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b="1">
              <a:solidFill>
                <a:schemeClr val="tx1"/>
              </a:solidFill>
            </a:rPr>
            <a:t>Market Difference</a:t>
          </a:r>
        </a:p>
      </xdr:txBody>
    </xdr:sp>
    <xdr:clientData/>
  </xdr:twoCellAnchor>
  <xdr:twoCellAnchor>
    <xdr:from>
      <xdr:col>15</xdr:col>
      <xdr:colOff>165653</xdr:colOff>
      <xdr:row>9</xdr:row>
      <xdr:rowOff>33130</xdr:rowOff>
    </xdr:from>
    <xdr:to>
      <xdr:col>20</xdr:col>
      <xdr:colOff>215348</xdr:colOff>
      <xdr:row>11</xdr:row>
      <xdr:rowOff>170341</xdr:rowOff>
    </xdr:to>
    <xdr:sp macro="" textlink="">
      <xdr:nvSpPr>
        <xdr:cNvPr id="27" name="Rectangle: Rounded Corners 26">
          <a:extLst>
            <a:ext uri="{FF2B5EF4-FFF2-40B4-BE49-F238E27FC236}">
              <a16:creationId xmlns:a16="http://schemas.microsoft.com/office/drawing/2014/main" id="{9ADABA7E-04BD-7EC4-36CA-11741379016D}"/>
            </a:ext>
          </a:extLst>
        </xdr:cNvPr>
        <xdr:cNvSpPr/>
      </xdr:nvSpPr>
      <xdr:spPr>
        <a:xfrm>
          <a:off x="19812001" y="4654826"/>
          <a:ext cx="3114260" cy="70042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800" b="1">
              <a:solidFill>
                <a:schemeClr val="tx1"/>
              </a:solidFill>
            </a:rPr>
            <a:t>Circulating</a:t>
          </a:r>
          <a:r>
            <a:rPr lang="en-IN" sz="1800" b="1" baseline="0">
              <a:solidFill>
                <a:schemeClr val="tx1"/>
              </a:solidFill>
            </a:rPr>
            <a:t> Supply Difference</a:t>
          </a:r>
          <a:endParaRPr lang="en-IN" sz="1800" b="1">
            <a:solidFill>
              <a:schemeClr val="tx1"/>
            </a:solidFill>
          </a:endParaRPr>
        </a:p>
      </xdr:txBody>
    </xdr:sp>
    <xdr:clientData/>
  </xdr:twoCellAnchor>
  <xdr:twoCellAnchor>
    <xdr:from>
      <xdr:col>2</xdr:col>
      <xdr:colOff>82827</xdr:colOff>
      <xdr:row>3</xdr:row>
      <xdr:rowOff>314113</xdr:rowOff>
    </xdr:from>
    <xdr:to>
      <xdr:col>4</xdr:col>
      <xdr:colOff>762000</xdr:colOff>
      <xdr:row>5</xdr:row>
      <xdr:rowOff>112830</xdr:rowOff>
    </xdr:to>
    <xdr:sp macro="" textlink="">
      <xdr:nvSpPr>
        <xdr:cNvPr id="28" name="Rectangle: Rounded Corners 27">
          <a:extLst>
            <a:ext uri="{FF2B5EF4-FFF2-40B4-BE49-F238E27FC236}">
              <a16:creationId xmlns:a16="http://schemas.microsoft.com/office/drawing/2014/main" id="{CC6A1CC4-A7AC-6F94-23BE-0AB94CF1A9E3}"/>
            </a:ext>
          </a:extLst>
        </xdr:cNvPr>
        <xdr:cNvSpPr/>
      </xdr:nvSpPr>
      <xdr:spPr>
        <a:xfrm>
          <a:off x="2252870" y="2649809"/>
          <a:ext cx="3743739" cy="62697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Coin Symbol</a:t>
          </a:r>
        </a:p>
      </xdr:txBody>
    </xdr:sp>
    <xdr:clientData/>
  </xdr:twoCellAnchor>
  <xdr:twoCellAnchor>
    <xdr:from>
      <xdr:col>2</xdr:col>
      <xdr:colOff>79702</xdr:colOff>
      <xdr:row>7</xdr:row>
      <xdr:rowOff>143774</xdr:rowOff>
    </xdr:from>
    <xdr:to>
      <xdr:col>4</xdr:col>
      <xdr:colOff>745434</xdr:colOff>
      <xdr:row>8</xdr:row>
      <xdr:rowOff>347869</xdr:rowOff>
    </xdr:to>
    <xdr:sp macro="" textlink="">
      <xdr:nvSpPr>
        <xdr:cNvPr id="29" name="Rectangle: Rounded Corners 28">
          <a:extLst>
            <a:ext uri="{FF2B5EF4-FFF2-40B4-BE49-F238E27FC236}">
              <a16:creationId xmlns:a16="http://schemas.microsoft.com/office/drawing/2014/main" id="{F80FC53B-0FA5-4976-A6CD-DCE5FCF57F07}"/>
            </a:ext>
          </a:extLst>
        </xdr:cNvPr>
        <xdr:cNvSpPr/>
      </xdr:nvSpPr>
      <xdr:spPr>
        <a:xfrm>
          <a:off x="2249745" y="4036600"/>
          <a:ext cx="3730298" cy="568530"/>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Price Of Coin</a:t>
          </a:r>
        </a:p>
      </xdr:txBody>
    </xdr:sp>
    <xdr:clientData/>
  </xdr:twoCellAnchor>
  <xdr:twoCellAnchor>
    <xdr:from>
      <xdr:col>2</xdr:col>
      <xdr:colOff>82827</xdr:colOff>
      <xdr:row>9</xdr:row>
      <xdr:rowOff>115957</xdr:rowOff>
    </xdr:from>
    <xdr:to>
      <xdr:col>4</xdr:col>
      <xdr:colOff>745434</xdr:colOff>
      <xdr:row>11</xdr:row>
      <xdr:rowOff>181156</xdr:rowOff>
    </xdr:to>
    <xdr:sp macro="" textlink="">
      <xdr:nvSpPr>
        <xdr:cNvPr id="30" name="Rectangle: Rounded Corners 29">
          <a:extLst>
            <a:ext uri="{FF2B5EF4-FFF2-40B4-BE49-F238E27FC236}">
              <a16:creationId xmlns:a16="http://schemas.microsoft.com/office/drawing/2014/main" id="{4EB30C30-5926-4444-B7E9-FC120210D3D7}"/>
            </a:ext>
          </a:extLst>
        </xdr:cNvPr>
        <xdr:cNvSpPr/>
      </xdr:nvSpPr>
      <xdr:spPr>
        <a:xfrm>
          <a:off x="2252870" y="4737653"/>
          <a:ext cx="3727173" cy="62841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Total Selected Coins</a:t>
          </a:r>
          <a:endParaRPr lang="en-IN" sz="1800" b="1">
            <a:solidFill>
              <a:schemeClr val="tx1"/>
            </a:solidFill>
          </a:endParaRPr>
        </a:p>
      </xdr:txBody>
    </xdr:sp>
    <xdr:clientData/>
  </xdr:twoCellAnchor>
  <xdr:twoCellAnchor>
    <xdr:from>
      <xdr:col>2</xdr:col>
      <xdr:colOff>79448</xdr:colOff>
      <xdr:row>5</xdr:row>
      <xdr:rowOff>216346</xdr:rowOff>
    </xdr:from>
    <xdr:to>
      <xdr:col>4</xdr:col>
      <xdr:colOff>761999</xdr:colOff>
      <xdr:row>7</xdr:row>
      <xdr:rowOff>33130</xdr:rowOff>
    </xdr:to>
    <xdr:sp macro="" textlink="">
      <xdr:nvSpPr>
        <xdr:cNvPr id="31" name="Rectangle: Rounded Corners 30">
          <a:extLst>
            <a:ext uri="{FF2B5EF4-FFF2-40B4-BE49-F238E27FC236}">
              <a16:creationId xmlns:a16="http://schemas.microsoft.com/office/drawing/2014/main" id="{3B61AAF0-CAF1-49EA-84D0-076F1C990BA9}"/>
            </a:ext>
          </a:extLst>
        </xdr:cNvPr>
        <xdr:cNvSpPr/>
      </xdr:nvSpPr>
      <xdr:spPr>
        <a:xfrm>
          <a:off x="2249491" y="3380303"/>
          <a:ext cx="3747117" cy="54565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Avg</a:t>
          </a:r>
          <a:r>
            <a:rPr lang="en-IN" sz="2400" b="1" baseline="0">
              <a:solidFill>
                <a:schemeClr val="tx1"/>
              </a:solidFill>
            </a:rPr>
            <a:t> Downfall of coin(%)</a:t>
          </a:r>
          <a:endParaRPr lang="en-IN" sz="2400" b="1">
            <a:solidFill>
              <a:schemeClr val="tx1"/>
            </a:solidFill>
          </a:endParaRPr>
        </a:p>
      </xdr:txBody>
    </xdr:sp>
    <xdr:clientData/>
  </xdr:twoCellAnchor>
  <xdr:twoCellAnchor>
    <xdr:from>
      <xdr:col>2</xdr:col>
      <xdr:colOff>52196</xdr:colOff>
      <xdr:row>2</xdr:row>
      <xdr:rowOff>81202</xdr:rowOff>
    </xdr:from>
    <xdr:to>
      <xdr:col>4</xdr:col>
      <xdr:colOff>795130</xdr:colOff>
      <xdr:row>3</xdr:row>
      <xdr:rowOff>239353</xdr:rowOff>
    </xdr:to>
    <xdr:sp macro="" textlink="">
      <xdr:nvSpPr>
        <xdr:cNvPr id="32" name="Rectangle: Rounded Corners 31">
          <a:extLst>
            <a:ext uri="{FF2B5EF4-FFF2-40B4-BE49-F238E27FC236}">
              <a16:creationId xmlns:a16="http://schemas.microsoft.com/office/drawing/2014/main" id="{FEBFA022-B0D8-4A61-BF0F-4FEA24BF2102}"/>
            </a:ext>
          </a:extLst>
        </xdr:cNvPr>
        <xdr:cNvSpPr/>
      </xdr:nvSpPr>
      <xdr:spPr>
        <a:xfrm>
          <a:off x="2222239" y="2002767"/>
          <a:ext cx="3807500" cy="572282"/>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Top</a:t>
          </a:r>
          <a:r>
            <a:rPr lang="en-IN" sz="2400" b="1" baseline="0">
              <a:solidFill>
                <a:schemeClr val="tx1"/>
              </a:solidFill>
            </a:rPr>
            <a:t> Coin</a:t>
          </a:r>
          <a:endParaRPr lang="en-IN" sz="2400" b="1">
            <a:solidFill>
              <a:schemeClr val="tx1"/>
            </a:solidFill>
          </a:endParaRPr>
        </a:p>
      </xdr:txBody>
    </xdr:sp>
    <xdr:clientData/>
  </xdr:twoCellAnchor>
  <xdr:twoCellAnchor>
    <xdr:from>
      <xdr:col>1</xdr:col>
      <xdr:colOff>1524000</xdr:colOff>
      <xdr:row>1</xdr:row>
      <xdr:rowOff>0</xdr:rowOff>
    </xdr:from>
    <xdr:to>
      <xdr:col>24</xdr:col>
      <xdr:colOff>16565</xdr:colOff>
      <xdr:row>1</xdr:row>
      <xdr:rowOff>0</xdr:rowOff>
    </xdr:to>
    <xdr:cxnSp macro="">
      <xdr:nvCxnSpPr>
        <xdr:cNvPr id="9" name="Straight Connector 8">
          <a:extLst>
            <a:ext uri="{FF2B5EF4-FFF2-40B4-BE49-F238E27FC236}">
              <a16:creationId xmlns:a16="http://schemas.microsoft.com/office/drawing/2014/main" id="{6DB73B24-3C2D-C3EA-6EC7-E0928538A2BB}"/>
            </a:ext>
          </a:extLst>
        </xdr:cNvPr>
        <xdr:cNvCxnSpPr/>
      </xdr:nvCxnSpPr>
      <xdr:spPr>
        <a:xfrm>
          <a:off x="2136913" y="1225826"/>
          <a:ext cx="23042217" cy="0"/>
        </a:xfrm>
        <a:prstGeom prst="line">
          <a:avLst/>
        </a:prstGeom>
        <a:ln>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7.540963657404" createdVersion="8" refreshedVersion="8" minRefreshableVersion="3" recordCount="195" xr:uid="{B0DB6292-ED24-44F6-8D00-BD19503059A2}">
  <cacheSource type="worksheet">
    <worksheetSource name="Cleaned_Data2"/>
  </cacheSource>
  <cacheFields count="19">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fieldGroup par="18"/>
    </cacheField>
    <cacheField name="Symbol" numFmtId="0">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acheField>
    <cacheField name="Price Category(&gt;=10/&lt;10)" numFmtId="0">
      <sharedItems/>
    </cacheField>
    <cacheField name="Price Category(0-50/&gt;50)" numFmtId="0">
      <sharedItems count="2">
        <s v="&gt;50"/>
        <s v="0-50"/>
      </sharedItems>
    </cacheField>
    <cacheField name="Name Filter" numFmtId="0">
      <sharedItems/>
    </cacheField>
    <cacheField name="Coin Name2" numFmtId="0" databaseField="0">
      <fieldGroup base="0">
        <discretePr count="195">
          <x v="5"/>
          <x v="0"/>
          <x v="1"/>
          <x v="2"/>
          <x v="5"/>
          <x v="5"/>
          <x v="3"/>
          <x v="4"/>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discretePr>
        <groupItems count="6">
          <s v="Bitcoin"/>
          <s v="Ethereum"/>
          <s v="Tether"/>
          <s v="USDC"/>
          <s v="Solana"/>
          <s v="Group1"/>
        </groupItems>
      </fieldGroup>
    </cacheField>
  </cacheFields>
  <extLst>
    <ext xmlns:x14="http://schemas.microsoft.com/office/spreadsheetml/2009/9/main" uri="{725AE2AE-9491-48be-B2B4-4EB974FC3084}">
      <x14:pivotCacheDefinition pivotCacheId="8995423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8.610623379631" createdVersion="8" refreshedVersion="8" minRefreshableVersion="3" recordCount="195" xr:uid="{C5144581-7175-46C8-9678-A62AAA5D480B}">
  <cacheSource type="worksheet">
    <worksheetSource name="Cleaned_Data"/>
  </cacheSource>
  <cacheFields count="18">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cacheField>
    <cacheField name="Symbol" numFmtId="0">
      <sharedItems count="195">
        <s v="CMC20"/>
        <s v="BTC"/>
        <s v="ETH"/>
        <s v="USDT"/>
        <s v="XRP"/>
        <s v="BNB"/>
        <s v="USDC"/>
        <s v="SOL"/>
        <s v="TRX"/>
        <s v="DOGE"/>
        <s v="ADA"/>
        <s v="BCH"/>
        <s v="LEO"/>
        <s v="HYPE"/>
        <s v="CC"/>
        <s v="H"/>
        <s v="IMX"/>
        <s v="BTT"/>
        <s v="NFT"/>
        <s v="BSV"/>
        <s v="INJ"/>
        <s v="SUN"/>
        <s v="SPX"/>
        <s v="PYTH"/>
        <s v="TIA"/>
        <s v="IOTA"/>
        <s v="JASMY"/>
        <s v="DEXE"/>
        <s v="GRT"/>
        <s v="FLOKI"/>
        <s v="RAIN"/>
        <s v="USDf"/>
        <s v="JLP"/>
        <s v="USDY"/>
        <s v="BDX"/>
        <s v="MAX"/>
        <s v="USD0"/>
        <s v="GHO"/>
        <s v="USDAI"/>
        <s v="FTN"/>
        <s v="CTM"/>
        <s v="SIREN"/>
        <s v="POWER"/>
        <s v="DUCKY"/>
        <s v="PEANUT"/>
        <s v="HOT"/>
        <s v="ZETA"/>
        <s v="VVS"/>
        <s v="MOG"/>
        <s v="USDH"/>
        <s v="USDon"/>
        <s v="MOCA"/>
        <s v="ELF"/>
        <s v="FRAX"/>
        <s v="AXL"/>
        <s v="ASTR"/>
        <s v="QUBIC"/>
        <s v="XPR"/>
        <s v="PCI"/>
        <s v="HSK"/>
        <s v="PARTI"/>
        <s v="CSPR"/>
        <s v="ARDR"/>
        <s v="IRYS"/>
        <s v="FB"/>
        <s v="VANA"/>
        <s v="RPL"/>
        <s v="POLYX"/>
        <s v="ORBS"/>
        <s v="NOW"/>
        <s v="GUSD"/>
        <s v="AIAT"/>
        <s v="MASK"/>
        <s v="SAHARA"/>
        <s v="APEX"/>
        <s v="IO"/>
        <s v="GLDX"/>
        <s v="CTK"/>
        <s v="AUCTION"/>
        <s v="KLK"/>
        <s v="RIF"/>
        <s v="UCN"/>
        <s v="CVC"/>
        <s v="MGO"/>
        <s v="OPEN"/>
        <s v="BNT"/>
        <s v="WOO"/>
        <s v="MUon"/>
        <s v="CROSS"/>
        <s v="COTI"/>
        <s v="METIS"/>
        <s v="QQQon"/>
        <s v="C98"/>
        <s v="LISTA"/>
        <s v="NVDAon"/>
        <s v="SANTOS"/>
        <s v="SONIC"/>
        <s v="ACX"/>
        <s v="SAPIEN"/>
        <s v="ACU"/>
        <s v="CHEEL"/>
        <s v="QKC"/>
        <s v="TAIKO"/>
        <s v="TPT"/>
        <s v="AIO"/>
        <s v="PAAL"/>
        <s v="SLND"/>
        <s v="BANANA"/>
        <s v="XAN"/>
        <s v="MBL"/>
        <s v="BULLA"/>
        <s v="ABT"/>
        <s v="CGPT"/>
        <s v="PONKE"/>
        <s v="ZKP"/>
        <s v="VINE"/>
        <s v="RAIL"/>
        <s v="C"/>
        <s v="IEFAon"/>
        <s v="GLMR"/>
        <s v="AVAIL"/>
        <s v="YB"/>
        <s v="OGN"/>
        <s v="OG"/>
        <s v="RSC"/>
        <s v="XSGD"/>
        <s v="哈基米"/>
        <s v="MSFTX"/>
        <s v="ANYONE"/>
        <s v="ICE"/>
        <s v="TSLAon"/>
        <s v="FIRO"/>
        <s v="STAR"/>
        <s v="FUN"/>
        <s v="ATA"/>
        <s v="IKA"/>
        <s v="BOUNTY"/>
        <s v="GFI"/>
        <s v="HMSTR"/>
        <s v="PSG"/>
        <s v="PAPARAZZI"/>
        <s v="KLV"/>
        <s v="AOP"/>
        <s v="TLM"/>
        <s v="ITOTon"/>
        <s v="NIM"/>
        <s v="HFT"/>
        <s v="LUMIA"/>
        <s v="A47"/>
        <s v="MNSRY"/>
        <s v="AMO"/>
        <s v="SIGMA"/>
        <s v="METFI"/>
        <s v="ASP"/>
        <s v="POR"/>
        <s v="ZRC"/>
        <s v="XMW"/>
        <s v="GMRT"/>
        <s v="4"/>
        <s v="FARTBOY"/>
        <s v="LQ"/>
        <s v="BTG"/>
        <s v="HOPR"/>
        <s v="XEM"/>
        <s v="DEGO"/>
        <s v="HOOK"/>
        <s v="LADYS"/>
        <s v="OBT"/>
        <s v="WE"/>
        <s v="IDEX"/>
        <s v="SUNDOG"/>
        <s v="GST"/>
        <s v="SEND"/>
        <s v="INTER"/>
        <s v="KONET"/>
        <s v="SOIL"/>
        <s v="WALLET"/>
        <s v="ECHO"/>
        <s v="SWEAT"/>
        <s v="USDV"/>
        <s v="VCHF"/>
        <s v="BOBO"/>
        <s v="VARA"/>
        <s v="BZZ"/>
        <s v="OAS"/>
        <s v="POLIS"/>
        <s v="D"/>
        <s v="VK"/>
        <s v="ALU"/>
        <s v="KARRAT"/>
        <s v="RION"/>
        <s v="SKI"/>
        <s v="DGMA"/>
        <s v="KAI"/>
        <s v="ETHDYDX"/>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ount="5">
        <s v="&gt;50"/>
        <s v="0.5 - 5"/>
        <s v="0.05 - 0.5"/>
        <s v="5 - 50"/>
        <s v="0 - 0.05"/>
      </sharedItems>
    </cacheField>
    <cacheField name="Price Category(&gt;=10/&lt;10)" numFmtId="0">
      <sharedItems count="2">
        <s v="&gt;=10"/>
        <s v="&lt;10"/>
      </sharedItems>
    </cacheField>
    <cacheField name="Price Category(0-50/&gt;50)" numFmtId="0">
      <sharedItems count="2">
        <s v="&gt;50"/>
        <s v="0-50"/>
      </sharedItems>
    </cacheField>
    <cacheField name="Name Filter" numFmtId="0">
      <sharedItems count="2">
        <s v="Selected"/>
        <s v="Other"/>
      </sharedItems>
    </cacheField>
  </cacheFields>
  <extLst>
    <ext xmlns:x14="http://schemas.microsoft.com/office/spreadsheetml/2009/9/main" uri="{725AE2AE-9491-48be-B2B4-4EB974FC3084}">
      <x14:pivotCacheDefinition pivotCacheId="10576178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s v="CMC20"/>
    <n v="140.76"/>
    <n v="8.9999999999999998E-4"/>
    <n v="5.0599999999999999E-2"/>
    <n v="2.2800000000000001E-2"/>
    <n v="13574565"/>
    <n v="3353947"/>
    <n v="96430"/>
    <n v="-8.3666666666666594E-3"/>
    <n v="137.6222135314822"/>
    <n v="148.26206024857802"/>
    <n v="140.63342991307823"/>
    <n v="0.12657008692175964"/>
    <s v="&gt;50"/>
    <s v="&gt;=10"/>
    <x v="0"/>
    <s v="Selected"/>
  </r>
  <r>
    <x v="1"/>
    <s v="BTC"/>
    <n v="68106.12"/>
    <n v="2.9999999999999997E-4"/>
    <n v="4.24E-2"/>
    <n v="1.8599999999999998E-2"/>
    <n v="1360805946728"/>
    <n v="55110655820"/>
    <n v="19990000"/>
    <n v="-7.6333333333333296E-3"/>
    <n v="66862.477910858041"/>
    <n v="71121.679197994978"/>
    <n v="68085.694291712483"/>
    <n v="20.425708287511952"/>
    <s v="&gt;50"/>
    <s v="&gt;=10"/>
    <x v="0"/>
    <s v="Selected"/>
  </r>
  <r>
    <x v="2"/>
    <s v="ETH"/>
    <n v="2049.58"/>
    <n v="6.0000000000000001E-3"/>
    <n v="7.8200000000000006E-2"/>
    <n v="4.1300000000000003E-2"/>
    <n v="247415190680"/>
    <n v="31027611819"/>
    <n v="120690000"/>
    <n v="-6.3E-3"/>
    <n v="1968.2896379525589"/>
    <n v="2223.4541115209372"/>
    <n v="2037.3558648111332"/>
    <n v="12.22413518886674"/>
    <s v="&gt;50"/>
    <s v="&gt;=10"/>
    <x v="0"/>
    <s v="Selected"/>
  </r>
  <r>
    <x v="3"/>
    <s v="USDT"/>
    <n v="1"/>
    <n v="2.9999999999999997E-4"/>
    <n v="4.0000000000000002E-4"/>
    <n v="8.9999999999999998E-4"/>
    <n v="183724100800"/>
    <n v="110724997343"/>
    <n v="183620000000"/>
    <n v="4.6666666666666699E-4"/>
    <n v="0.99910080927165557"/>
    <n v="1.0004001600640255"/>
    <n v="0.99970008997300808"/>
    <n v="2.9991002699192304E-4"/>
    <s v="0.5 - 5"/>
    <s v="&lt;10"/>
    <x v="1"/>
    <s v="Other"/>
  </r>
  <r>
    <x v="4"/>
    <s v="XRP"/>
    <n v="1.43"/>
    <n v="8.0000000000000004E-4"/>
    <n v="5.3999999999999999E-2"/>
    <n v="1.55E-2"/>
    <n v="87861851726"/>
    <n v="4421248180"/>
    <n v="61010000000"/>
    <n v="-1.20333333333333E-2"/>
    <n v="1.4081733136386014"/>
    <n v="1.5116279069767442"/>
    <n v="1.4288569144684253"/>
    <n v="1.1430855315746058E-3"/>
    <s v="0.5 - 5"/>
    <s v="&lt;10"/>
    <x v="1"/>
    <s v="Other"/>
  </r>
  <r>
    <x v="5"/>
    <s v="BNB"/>
    <n v="627.83000000000004"/>
    <n v="2.0000000000000001E-4"/>
    <n v="4.8800000000000003E-2"/>
    <n v="3.5200000000000002E-2"/>
    <n v="85612918351"/>
    <n v="2701737108"/>
    <n v="136350000"/>
    <n v="-4.3333333333333297E-3"/>
    <n v="606.48183925811452"/>
    <n v="660.03994953742642"/>
    <n v="627.70445910817841"/>
    <n v="0.12554089182162897"/>
    <s v="&gt;50"/>
    <s v="&gt;=10"/>
    <x v="0"/>
    <s v="Selected"/>
  </r>
  <r>
    <x v="6"/>
    <s v="USDC"/>
    <n v="0.99990000000000001"/>
    <n v="1E-4"/>
    <n v="0"/>
    <n v="0"/>
    <n v="75395300759"/>
    <n v="15183054533"/>
    <n v="75390000000"/>
    <n v="1E-4"/>
    <n v="0.99990000000000001"/>
    <n v="0.99990000000000001"/>
    <n v="0.99980001999800017"/>
    <n v="9.9980001999844248E-5"/>
    <s v="0.5 - 5"/>
    <s v="&lt;10"/>
    <x v="1"/>
    <s v="Selected"/>
  </r>
  <r>
    <x v="7"/>
    <s v="SOL"/>
    <n v="87.62"/>
    <n v="1E-3"/>
    <n v="6.3600000000000004E-2"/>
    <n v="7.1800000000000003E-2"/>
    <n v="49837071658"/>
    <n v="5785658485"/>
    <n v="568750000"/>
    <n v="3.7333333333333298E-3"/>
    <n v="81.750326553461463"/>
    <n v="93.571123451516456"/>
    <n v="87.53246753246755"/>
    <n v="8.7532467532454916E-2"/>
    <s v="&gt;50"/>
    <s v="&gt;=10"/>
    <x v="0"/>
    <s v="Other"/>
  </r>
  <r>
    <x v="8"/>
    <s v="TRX"/>
    <n v="0.28639999999999999"/>
    <n v="1.1000000000000001E-3"/>
    <n v="1.4E-3"/>
    <n v="2.4899999999999999E-2"/>
    <n v="27139431961"/>
    <n v="581889677"/>
    <n v="94730000000"/>
    <n v="8.9333333333333296E-3"/>
    <n v="0.27944189677041664"/>
    <n v="0.28680152213098337"/>
    <n v="0.28608530616322042"/>
    <n v="3.1469383677956708E-4"/>
    <s v="0.05 - 0.5"/>
    <s v="&lt;10"/>
    <x v="1"/>
    <s v="Other"/>
  </r>
  <r>
    <x v="9"/>
    <s v="DOGE"/>
    <n v="9.9959999999999993E-2"/>
    <n v="2.9999999999999997E-4"/>
    <n v="7.4499999999999997E-2"/>
    <n v="2.5100000000000001E-2"/>
    <n v="16883804678"/>
    <n v="1815598681"/>
    <n v="168890000000"/>
    <n v="-1.6166666666666701E-2"/>
    <n v="9.7512437810945277E-2"/>
    <n v="0.10800648298217179"/>
    <n v="9.9930020993701893E-2"/>
    <n v="2.9979006298100352E-5"/>
    <s v="0.05 - 0.5"/>
    <s v="&lt;10"/>
    <x v="1"/>
    <s v="Selected"/>
  </r>
  <r>
    <x v="10"/>
    <s v="ADA"/>
    <n v="0.29409999999999997"/>
    <n v="2.3E-3"/>
    <n v="0.1018"/>
    <n v="7.2499999999999995E-2"/>
    <n v="10610886354"/>
    <n v="1152105381"/>
    <n v="36070000000"/>
    <n v="-7.4666666666666701E-3"/>
    <n v="0.27421911421911421"/>
    <n v="0.32743264306390557"/>
    <n v="0.29342512221889649"/>
    <n v="6.7487778110347785E-4"/>
    <s v="0.05 - 0.5"/>
    <s v="&lt;10"/>
    <x v="1"/>
    <s v="Selected"/>
  </r>
  <r>
    <x v="11"/>
    <s v="BCH"/>
    <n v="501.72"/>
    <n v="2.0000000000000001E-4"/>
    <n v="2.1299999999999999E-2"/>
    <n v="9.8900000000000002E-2"/>
    <n v="10034569282"/>
    <n v="523884913"/>
    <n v="20000000"/>
    <n v="2.60666666666667E-2"/>
    <n v="456.56565656565658"/>
    <n v="512.63921528558296"/>
    <n v="501.61967606478709"/>
    <n v="0.10032393521294125"/>
    <s v="&gt;50"/>
    <s v="&gt;=10"/>
    <x v="0"/>
    <s v="Selected"/>
  </r>
  <r>
    <x v="12"/>
    <s v="LEO"/>
    <n v="8.7899999999999991"/>
    <n v="5.9999999999999995E-4"/>
    <n v="9.1999999999999998E-3"/>
    <n v="1.6299999999999999E-2"/>
    <n v="8104381104"/>
    <n v="1307623"/>
    <n v="921280000"/>
    <n v="2.96666666666667E-3"/>
    <n v="8.649020958378431"/>
    <n v="8.8716188938231717"/>
    <n v="8.784729162502499"/>
    <n v="5.2708374975001249E-3"/>
    <s v="5 - 50"/>
    <s v="&lt;10"/>
    <x v="1"/>
    <s v="Selected"/>
  </r>
  <r>
    <x v="13"/>
    <s v="HYPE"/>
    <n v="28.21"/>
    <n v="7.7999999999999996E-3"/>
    <n v="4.6399999999999997E-2"/>
    <n v="2.63E-2"/>
    <n v="7294386483"/>
    <n v="350216993"/>
    <n v="258490000"/>
    <n v="1.1000000000000001E-3"/>
    <n v="27.487089544967361"/>
    <n v="29.582634228187921"/>
    <n v="27.991665012899386"/>
    <n v="0.21833498710061505"/>
    <s v="5 - 50"/>
    <s v="&gt;=10"/>
    <x v="1"/>
    <s v="Other"/>
  </r>
  <r>
    <x v="14"/>
    <s v="CC"/>
    <n v="0.17469999999999999"/>
    <n v="1.4E-3"/>
    <n v="8.2900000000000001E-2"/>
    <n v="8.5400000000000004E-2"/>
    <n v="6610489368"/>
    <n v="21576106"/>
    <n v="37820000000"/>
    <n v="2.2333333333333298E-3"/>
    <n v="0.16095448682513361"/>
    <n v="0.19049176752807762"/>
    <n v="0.17445576193329337"/>
    <n v="2.4423806670662018E-4"/>
    <s v="0.05 - 0.5"/>
    <s v="&lt;10"/>
    <x v="1"/>
    <s v="Selected"/>
  </r>
  <r>
    <x v="15"/>
    <s v="H"/>
    <n v="0.1356"/>
    <n v="4.7000000000000002E-3"/>
    <n v="1.6999999999999999E-3"/>
    <n v="0.16"/>
    <n v="341297819"/>
    <n v="63602498"/>
    <n v="2510000000"/>
    <n v="5.7466666666666701E-2"/>
    <n v="0.11689655172413793"/>
    <n v="0.13583091255133728"/>
    <n v="0.13496566139146016"/>
    <n v="6.343386085398417E-4"/>
    <s v="0.05 - 0.5"/>
    <s v="&lt;10"/>
    <x v="1"/>
    <s v="Other"/>
  </r>
  <r>
    <x v="16"/>
    <s v="IMX"/>
    <n v="0.17080000000000001"/>
    <n v="2.8E-3"/>
    <n v="0.04"/>
    <n v="7.2400000000000006E-2"/>
    <n v="339872692"/>
    <n v="26642835"/>
    <n v="1980000000"/>
    <n v="1.3599999999999999E-2"/>
    <n v="0.15926892950391644"/>
    <n v="0.17791666666666667"/>
    <n v="0.17032309533306744"/>
    <n v="4.7690466693256495E-4"/>
    <s v="0.05 - 0.5"/>
    <s v="&lt;10"/>
    <x v="1"/>
    <s v="Selected"/>
  </r>
  <r>
    <x v="17"/>
    <s v="BTT"/>
    <n v="6.3391000000000003E-2"/>
    <n v="4.1999999999999997E-3"/>
    <n v="2.5899999999999999E-2"/>
    <n v="3.2000000000000002E-3"/>
    <n v="334749920"/>
    <n v="8592532"/>
    <n v="987030000000000"/>
    <n v="-3.3666666666666701E-3"/>
    <n v="6.318879585326953E-2"/>
    <n v="6.5076480854121765E-2"/>
    <n v="6.3125871340370454E-2"/>
    <n v="2.6512865962954879E-4"/>
    <s v="0.05 - 0.5"/>
    <s v="&lt;10"/>
    <x v="1"/>
    <s v="Selected"/>
  </r>
  <r>
    <x v="18"/>
    <s v="NFT"/>
    <n v="6.3346E-2"/>
    <n v="8.0000000000000004E-4"/>
    <n v="5.1000000000000004E-3"/>
    <n v="2.75E-2"/>
    <n v="331302147"/>
    <n v="12609835"/>
    <n v="990100000000000"/>
    <n v="8.2666666666666704E-3"/>
    <n v="6.1650608272506076E-2"/>
    <n v="6.367072067544477E-2"/>
    <n v="6.3295363709032784E-2"/>
    <n v="5.0636290967215336E-5"/>
    <s v="0.05 - 0.5"/>
    <s v="&lt;10"/>
    <x v="1"/>
    <s v="Selected"/>
  </r>
  <r>
    <x v="19"/>
    <s v="BSV"/>
    <n v="16.36"/>
    <n v="3.3999999999999998E-3"/>
    <n v="2.5399999999999999E-2"/>
    <n v="4.3E-3"/>
    <n v="327163655"/>
    <n v="16123513"/>
    <n v="19990000"/>
    <n v="-3.63333333333333E-3"/>
    <n v="16.289953201234692"/>
    <n v="16.786373896983378"/>
    <n v="16.304564480765396"/>
    <n v="5.5435519234602992E-2"/>
    <s v="5 - 50"/>
    <s v="&gt;=10"/>
    <x v="1"/>
    <s v="Selected"/>
  </r>
  <r>
    <x v="20"/>
    <s v="INJ"/>
    <n v="3.22"/>
    <n v="2.3999999999999998E-3"/>
    <n v="1.6E-2"/>
    <n v="6.7999999999999996E-3"/>
    <n v="322213239"/>
    <n v="73524284"/>
    <n v="99970000"/>
    <n v="-6.6666666666666697E-4"/>
    <n v="3.1982518871672632"/>
    <n v="3.2723577235772359"/>
    <n v="3.2122905027932962"/>
    <n v="7.7094972067039969E-3"/>
    <s v="0.5 - 5"/>
    <s v="&lt;10"/>
    <x v="1"/>
    <s v="Selected"/>
  </r>
  <r>
    <x v="21"/>
    <s v="SUN"/>
    <n v="1.6240000000000001E-2"/>
    <n v="1.5E-3"/>
    <n v="1.49E-2"/>
    <n v="5.4199999999999998E-2"/>
    <n v="312185854"/>
    <n v="29525336"/>
    <n v="19210000000"/>
    <n v="1.46E-2"/>
    <n v="1.5405046480743692E-2"/>
    <n v="1.6485635976043043E-2"/>
    <n v="1.6215676485272092E-2"/>
    <n v="2.4323514727909307E-5"/>
    <s v="0 - 0.05"/>
    <s v="&lt;10"/>
    <x v="1"/>
    <s v="Other"/>
  </r>
  <r>
    <x v="22"/>
    <s v="SPX"/>
    <n v="0.32829999999999998"/>
    <n v="8.6E-3"/>
    <n v="9.6600000000000005E-2"/>
    <n v="4.1999999999999997E-3"/>
    <n v="305653216"/>
    <n v="15906961"/>
    <n v="930990000"/>
    <n v="-2.2200000000000001E-2"/>
    <n v="0.32692690699063931"/>
    <n v="0.36340491476643788"/>
    <n v="0.32550069403133058"/>
    <n v="2.7993059686693966E-3"/>
    <s v="0.05 - 0.5"/>
    <s v="&lt;10"/>
    <x v="1"/>
    <s v="Other"/>
  </r>
  <r>
    <x v="23"/>
    <s v="PYTH"/>
    <n v="5.3030000000000001E-2"/>
    <n v="4.0000000000000001E-3"/>
    <n v="2.06E-2"/>
    <n v="4.4000000000000003E-3"/>
    <n v="304948024"/>
    <n v="17447300"/>
    <n v="5740000000"/>
    <n v="-1.4E-3"/>
    <n v="5.2797690163281563E-2"/>
    <n v="5.4145395139881557E-2"/>
    <n v="5.2818725099601595E-2"/>
    <n v="2.1127490039840602E-4"/>
    <s v="0.05 - 0.5"/>
    <s v="&lt;10"/>
    <x v="1"/>
    <s v="Other"/>
  </r>
  <r>
    <x v="24"/>
    <s v="TIA"/>
    <n v="0.34320000000000001"/>
    <n v="1.5E-3"/>
    <n v="0.10730000000000001"/>
    <n v="6.7500000000000004E-2"/>
    <n v="303665906"/>
    <n v="92107325"/>
    <n v="884790000"/>
    <n v="-1.17666666666667E-2"/>
    <n v="0.32149882903981269"/>
    <n v="0.38445166349277471"/>
    <n v="0.34268597104343484"/>
    <n v="5.1402895656516012E-4"/>
    <s v="0.05 - 0.5"/>
    <s v="&lt;10"/>
    <x v="1"/>
    <s v="Selected"/>
  </r>
  <r>
    <x v="25"/>
    <s v="IOTA"/>
    <n v="7.0470000000000005E-2"/>
    <n v="3.3E-3"/>
    <n v="5.3400000000000003E-2"/>
    <n v="4.48E-2"/>
    <n v="303552701"/>
    <n v="15048737"/>
    <n v="4300000000"/>
    <n v="4.3333333333333201E-4"/>
    <n v="6.744831546707504E-2"/>
    <n v="7.4445383477709709E-2"/>
    <n v="7.0238213894149304E-2"/>
    <n v="2.3178610585070092E-4"/>
    <s v="0.05 - 0.5"/>
    <s v="&lt;10"/>
    <x v="1"/>
    <s v="Selected"/>
  </r>
  <r>
    <x v="26"/>
    <s v="JASMY"/>
    <n v="6.0499999999999998E-3"/>
    <n v="1.1000000000000001E-3"/>
    <n v="6.1800000000000001E-2"/>
    <n v="5.5E-2"/>
    <n v="299162734"/>
    <n v="24070695"/>
    <n v="49440000000"/>
    <n v="-1.16666666666667E-3"/>
    <n v="5.7345971563981047E-3"/>
    <n v="6.4485184395651242E-3"/>
    <n v="6.043352312456297E-3"/>
    <n v="6.6476875437027766E-6"/>
    <s v="0 - 0.05"/>
    <s v="&lt;10"/>
    <x v="1"/>
    <s v="Other"/>
  </r>
  <r>
    <x v="27"/>
    <s v="DEXE"/>
    <n v="3.54"/>
    <n v="2.8E-3"/>
    <n v="3.6999999999999998E-2"/>
    <n v="0.58040000000000003"/>
    <n v="297004021"/>
    <n v="17442756"/>
    <n v="83730000"/>
    <n v="0.183933333333333"/>
    <n v="2.2399392558845861"/>
    <n v="3.67601246105919"/>
    <n v="3.530115676106901"/>
    <n v="9.8843238930990118E-3"/>
    <s v="0.5 - 5"/>
    <s v="&lt;10"/>
    <x v="1"/>
    <s v="Selected"/>
  </r>
  <r>
    <x v="28"/>
    <s v="GRT"/>
    <n v="2.7289999999999998E-2"/>
    <n v="1.6999999999999999E-3"/>
    <n v="4.58E-2"/>
    <n v="2.5000000000000001E-2"/>
    <n v="292892937"/>
    <n v="29024082"/>
    <n v="10720000000"/>
    <n v="-5.2333333333333303E-3"/>
    <n v="2.6624390243902441E-2"/>
    <n v="2.8599874240201214E-2"/>
    <n v="2.7243685734251771E-2"/>
    <n v="4.6314265748227668E-5"/>
    <s v="0 - 0.05"/>
    <s v="&lt;10"/>
    <x v="1"/>
    <s v="Other"/>
  </r>
  <r>
    <x v="29"/>
    <s v="FLOKI"/>
    <n v="2.9969999999999999E-5"/>
    <n v="2.7000000000000001E-3"/>
    <n v="5.2400000000000002E-2"/>
    <n v="9.1000000000000004E-3"/>
    <n v="285958962"/>
    <n v="55793722"/>
    <n v="9530000000000"/>
    <n v="-1.1733333333333301E-2"/>
    <n v="2.9699732434842924E-5"/>
    <n v="3.1627268889826929E-5"/>
    <n v="2.9889298892988933E-5"/>
    <n v="8.0701107011066294E-8"/>
    <s v="0 - 0.05"/>
    <s v="&lt;10"/>
    <x v="1"/>
    <s v="Other"/>
  </r>
  <r>
    <x v="30"/>
    <s v="RAIN"/>
    <n v="9.5160000000000002E-3"/>
    <n v="1.8E-3"/>
    <n v="2.06E-2"/>
    <n v="7.0000000000000001E-3"/>
    <n v="4548337203"/>
    <n v="33714759"/>
    <n v="477920000000"/>
    <n v="-2.7333333333333298E-3"/>
    <n v="9.4498510427010931E-3"/>
    <n v="9.7161527465795382E-3"/>
    <n v="9.4989019764424032E-3"/>
    <n v="1.7098023557596959E-5"/>
    <s v="0 - 0.05"/>
    <s v="&lt;10"/>
    <x v="1"/>
    <s v="Other"/>
  </r>
  <r>
    <x v="31"/>
    <s v="USDf"/>
    <n v="0.99739999999999995"/>
    <n v="0"/>
    <n v="0"/>
    <n v="6.9999999999999999E-4"/>
    <n v="1637470973"/>
    <n v="2607510"/>
    <n v="1640000000"/>
    <n v="2.3333333333333301E-4"/>
    <n v="0.9967023083841311"/>
    <n v="0.99739999999999995"/>
    <n v="0.99739999999999995"/>
    <n v="0"/>
    <s v="0.5 - 5"/>
    <s v="&lt;10"/>
    <x v="1"/>
    <s v="Other"/>
  </r>
  <r>
    <x v="32"/>
    <s v="JLP"/>
    <n v="3.74"/>
    <n v="1.2999999999999999E-3"/>
    <n v="4.0300000000000002E-2"/>
    <n v="4.1000000000000002E-2"/>
    <n v="1138786327"/>
    <n v="18938750"/>
    <n v="303780000"/>
    <n v="1.5333333333333299E-3"/>
    <n v="3.5926993275696448"/>
    <n v="3.8970511618214028"/>
    <n v="3.7351443123938877"/>
    <n v="4.8556876061125465E-3"/>
    <s v="0.5 - 5"/>
    <s v="&lt;10"/>
    <x v="1"/>
    <s v="Other"/>
  </r>
  <r>
    <x v="33"/>
    <s v="USDY"/>
    <n v="1.1200000000000001"/>
    <n v="5.0000000000000001E-4"/>
    <n v="1.14E-2"/>
    <n v="1.3899999999999999E-2"/>
    <n v="712356590"/>
    <n v="340607"/>
    <n v="633420000"/>
    <n v="1.33333333333333E-3"/>
    <n v="1.104645428543249"/>
    <n v="1.1329152336637671"/>
    <n v="1.1194402798600702"/>
    <n v="5.5972013992988678E-4"/>
    <s v="0.5 - 5"/>
    <s v="&lt;10"/>
    <x v="1"/>
    <s v="Selected"/>
  </r>
  <r>
    <x v="34"/>
    <s v="BDX"/>
    <n v="8.029E-2"/>
    <n v="4.0000000000000002E-4"/>
    <n v="1.2999999999999999E-3"/>
    <n v="3.2000000000000002E-3"/>
    <n v="610730165"/>
    <n v="13536428"/>
    <n v="7600000000"/>
    <n v="1.0333333333333299E-3"/>
    <n v="8.0033891547049429E-2"/>
    <n v="8.0394512866726747E-2"/>
    <n v="8.0257896841263499E-2"/>
    <n v="3.2103158736501713E-5"/>
    <s v="0.05 - 0.5"/>
    <s v="&lt;10"/>
    <x v="1"/>
    <s v="Selected"/>
  </r>
  <r>
    <x v="35"/>
    <s v="MAX"/>
    <n v="4.3899999999999997"/>
    <n v="4.7199999999999999E-2"/>
    <n v="525.39430000000004"/>
    <n v="363.57889999999998"/>
    <n v="574232075"/>
    <n v="7395"/>
    <n v="130520000.00000001"/>
    <n v="-53.891266666666702"/>
    <n v="1.2041289279220492E-2"/>
    <n v="-8.3715631539091843E-3"/>
    <n v="4.1921313980137507"/>
    <n v="0.197868601986249"/>
    <s v="0.5 - 5"/>
    <s v="&lt;10"/>
    <x v="1"/>
    <s v="Other"/>
  </r>
  <r>
    <x v="36"/>
    <s v="USD0"/>
    <n v="0.99850000000000005"/>
    <n v="2.0000000000000001E-4"/>
    <n v="2.0000000000000001E-4"/>
    <n v="2.0000000000000001E-4"/>
    <n v="573008942"/>
    <n v="1859478"/>
    <n v="573810000"/>
    <n v="2.0000000000000001E-4"/>
    <n v="0.99830033993201372"/>
    <n v="0.99869973994798966"/>
    <n v="0.99830033993201372"/>
    <n v="1.9966006798632918E-4"/>
    <s v="0.5 - 5"/>
    <s v="&lt;10"/>
    <x v="1"/>
    <s v="Selected"/>
  </r>
  <r>
    <x v="37"/>
    <s v="GHO"/>
    <n v="1"/>
    <n v="1E-4"/>
    <n v="2.9999999999999997E-4"/>
    <n v="2.9999999999999997E-4"/>
    <n v="527528553"/>
    <n v="665721"/>
    <n v="527429999.99999994"/>
    <n v="1E-4"/>
    <n v="0.99970008997300808"/>
    <n v="1.000300090027008"/>
    <n v="0.99990000999900008"/>
    <n v="9.9990000999916617E-5"/>
    <s v="0.5 - 5"/>
    <s v="&lt;10"/>
    <x v="1"/>
    <s v="Other"/>
  </r>
  <r>
    <x v="38"/>
    <s v="USDAI"/>
    <n v="1"/>
    <n v="4.0000000000000002E-4"/>
    <n v="2.0000000000000001E-4"/>
    <n v="4.0000000000000002E-4"/>
    <n v="501506769"/>
    <n v="279495"/>
    <n v="501350000"/>
    <n v="4.6666666666666699E-4"/>
    <n v="0.99960015993602558"/>
    <n v="1.0002000400080016"/>
    <n v="0.99960015993602558"/>
    <n v="3.9984006397442151E-4"/>
    <s v="0.5 - 5"/>
    <s v="&lt;10"/>
    <x v="1"/>
    <s v="Selected"/>
  </r>
  <r>
    <x v="39"/>
    <s v="FTN"/>
    <n v="1.0900000000000001"/>
    <n v="5.9999999999999995E-4"/>
    <n v="2.2000000000000001E-3"/>
    <n v="1.9E-3"/>
    <n v="476025407"/>
    <n v="64269"/>
    <n v="436260000"/>
    <n v="5.0000000000000001E-4"/>
    <n v="1.0879329274378682"/>
    <n v="1.0924032872319103"/>
    <n v="1.0893463921647013"/>
    <n v="6.5360783529877509E-4"/>
    <s v="0.5 - 5"/>
    <s v="&lt;10"/>
    <x v="1"/>
    <s v="Other"/>
  </r>
  <r>
    <x v="40"/>
    <s v="CTM"/>
    <n v="8.4860000000000005E-2"/>
    <n v="6.4000000000000003E-3"/>
    <n v="6.3200000000000006E-2"/>
    <n v="2.3E-2"/>
    <n v="369982619"/>
    <n v="1036052"/>
    <n v="4350000000"/>
    <n v="-7.0000000000000001E-3"/>
    <n v="8.295210166177909E-2"/>
    <n v="9.0584970111016239E-2"/>
    <n v="8.4320349761526234E-2"/>
    <n v="5.3965023847377114E-4"/>
    <s v="0.05 - 0.5"/>
    <s v="&lt;10"/>
    <x v="1"/>
    <s v="Other"/>
  </r>
  <r>
    <x v="41"/>
    <s v="SIREN"/>
    <n v="0.46300000000000002"/>
    <n v="5.3100000000000001E-2"/>
    <n v="0.2382"/>
    <n v="1.1661999999999999"/>
    <n v="337489922"/>
    <n v="39328010"/>
    <n v="728850000"/>
    <n v="0.362433333333333"/>
    <n v="0.21373834364324626"/>
    <n v="0.60777106852192175"/>
    <n v="0.43965435381255347"/>
    <n v="2.3345646187446556E-2"/>
    <s v="0.05 - 0.5"/>
    <s v="&lt;10"/>
    <x v="1"/>
    <s v="Other"/>
  </r>
  <r>
    <x v="42"/>
    <s v="POWER"/>
    <n v="1.63"/>
    <n v="0.47510000000000002"/>
    <n v="1.2766999999999999"/>
    <n v="3.6073"/>
    <n v="342710100"/>
    <n v="55522502"/>
    <n v="210000000"/>
    <n v="1.25196666666667"/>
    <n v="0.35378638247997735"/>
    <n v="-5.8908565233104451"/>
    <n v="1.1050098298420445"/>
    <n v="0.52499017015795535"/>
    <s v="0.5 - 5"/>
    <s v="&lt;10"/>
    <x v="1"/>
    <s v="Other"/>
  </r>
  <r>
    <x v="43"/>
    <s v="DUCKY"/>
    <n v="6.8269999999999995E-4"/>
    <n v="2.9999999999999997E-4"/>
    <n v="4.4999999999999998E-2"/>
    <n v="74.854500000000002"/>
    <n v="282921577"/>
    <n v="222756"/>
    <n v="414400000000"/>
    <n v="24.936800000000002"/>
    <n v="9.0001252397682396E-6"/>
    <n v="7.1486910994764401E-4"/>
    <n v="6.8249525142457265E-4"/>
    <n v="2.0474857542729895E-7"/>
    <s v="0 - 0.05"/>
    <s v="&lt;10"/>
    <x v="1"/>
    <s v="Selected"/>
  </r>
  <r>
    <x v="44"/>
    <s v="PEANUT"/>
    <n v="6.8269999999999995E-4"/>
    <n v="2.9999999999999997E-4"/>
    <n v="4.5199999999999997E-2"/>
    <n v="65.210899999999995"/>
    <n v="279559451"/>
    <n v="189595"/>
    <n v="409450000000"/>
    <n v="21.722200000000001"/>
    <n v="1.0310991090590825E-5"/>
    <n v="7.1501885211562631E-4"/>
    <n v="6.8249525142457265E-4"/>
    <n v="2.0474857542729895E-7"/>
    <s v="0 - 0.05"/>
    <s v="&lt;10"/>
    <x v="1"/>
    <s v="Other"/>
  </r>
  <r>
    <x v="45"/>
    <s v="HOT"/>
    <n v="3.8410000000000001E-4"/>
    <n v="8.6999999999999994E-3"/>
    <n v="4.5999999999999999E-3"/>
    <n v="6.4000000000000003E-3"/>
    <n v="67412259"/>
    <n v="7376719"/>
    <n v="175470000000"/>
    <n v="9.2999999999999992E-3"/>
    <n v="3.816573926868045E-4"/>
    <n v="3.858750251155315E-4"/>
    <n v="3.8078715177951821E-4"/>
    <n v="3.3128482204818066E-6"/>
    <s v="0 - 0.05"/>
    <s v="&lt;10"/>
    <x v="1"/>
    <s v="Other"/>
  </r>
  <r>
    <x v="46"/>
    <s v="ZETA"/>
    <n v="5.3120000000000001E-2"/>
    <n v="4.0000000000000002E-4"/>
    <n v="4.2799999999999998E-2"/>
    <n v="3.1300000000000001E-2"/>
    <n v="67287158"/>
    <n v="16253160"/>
    <n v="1260000000"/>
    <n v="-3.4333333333333299E-3"/>
    <n v="5.1507805682148737E-2"/>
    <n v="5.5495194316757208E-2"/>
    <n v="5.3098760495801679E-2"/>
    <n v="2.1239504198321268E-5"/>
    <s v="0.05 - 0.5"/>
    <s v="&lt;10"/>
    <x v="1"/>
    <s v="Other"/>
  </r>
  <r>
    <x v="47"/>
    <s v="VVS"/>
    <n v="5.1527000000000003E-2"/>
    <n v="1E-4"/>
    <n v="3.44E-2"/>
    <n v="3.3E-3"/>
    <n v="66523252"/>
    <n v="249720"/>
    <n v="43550000000000"/>
    <n v="-1.02666666666667E-2"/>
    <n v="5.1357520183394796E-2"/>
    <n v="5.3362676056338029E-2"/>
    <n v="5.1521847815218479E-2"/>
    <n v="5.1521847815247379E-6"/>
    <s v="0.05 - 0.5"/>
    <s v="&lt;10"/>
    <x v="1"/>
    <s v="Other"/>
  </r>
  <r>
    <x v="48"/>
    <s v="MOG"/>
    <n v="6.1698999999999997E-2"/>
    <n v="1.1999999999999999E-3"/>
    <n v="5.6099999999999997E-2"/>
    <n v="1.6999999999999999E-3"/>
    <n v="66358856"/>
    <n v="11239166"/>
    <n v="390560000000000"/>
    <n v="-1.69333333333333E-2"/>
    <n v="6.1594289707497252E-2"/>
    <n v="6.5366034537556947E-2"/>
    <n v="6.1625049940071903E-2"/>
    <n v="7.3950059928093448E-5"/>
    <s v="0.05 - 0.5"/>
    <s v="&lt;10"/>
    <x v="1"/>
    <s v="Other"/>
  </r>
  <r>
    <x v="49"/>
    <s v="USDH"/>
    <n v="1"/>
    <n v="2.0000000000000001E-4"/>
    <n v="2.9999999999999997E-4"/>
    <n v="0"/>
    <n v="66318972"/>
    <n v="8227692"/>
    <n v="66300000"/>
    <n v="1E-4"/>
    <n v="1"/>
    <n v="1.000300090027008"/>
    <n v="0.99980003999200162"/>
    <n v="1.9996000799837876E-4"/>
    <s v="0.5 - 5"/>
    <s v="&lt;10"/>
    <x v="1"/>
    <s v="Selected"/>
  </r>
  <r>
    <x v="50"/>
    <s v="USDon"/>
    <n v="1"/>
    <n v="1E-4"/>
    <n v="2.9999999999999997E-4"/>
    <n v="5.0000000000000001E-4"/>
    <n v="66250542"/>
    <n v="47907803"/>
    <n v="66239999.999999993"/>
    <n v="1.6666666666666701E-4"/>
    <n v="0.99950024987506247"/>
    <n v="1.000300090027008"/>
    <n v="0.99990000999900008"/>
    <n v="9.9990000999916617E-5"/>
    <s v="0.5 - 5"/>
    <s v="&lt;10"/>
    <x v="1"/>
    <s v="Selected"/>
  </r>
  <r>
    <x v="51"/>
    <s v="MOCA"/>
    <n v="1.6480000000000002E-2"/>
    <n v="1.9E-3"/>
    <n v="1.9300000000000001E-2"/>
    <n v="4.7600000000000003E-2"/>
    <n v="65148258"/>
    <n v="4597098"/>
    <n v="3950000000"/>
    <n v="1.1333333333333299E-2"/>
    <n v="1.5731195112638412E-2"/>
    <n v="1.6804323442439074E-2"/>
    <n v="1.6448747379978042E-2"/>
    <n v="3.1252620021959832E-5"/>
    <s v="0 - 0.05"/>
    <s v="&lt;10"/>
    <x v="1"/>
    <s v="Other"/>
  </r>
  <r>
    <x v="52"/>
    <s v="ELF"/>
    <n v="7.9030000000000003E-2"/>
    <n v="2.3999999999999998E-3"/>
    <n v="3.9E-2"/>
    <n v="1.84E-2"/>
    <n v="64721062"/>
    <n v="1528366"/>
    <n v="818920000"/>
    <n v="-4.46666666666667E-3"/>
    <n v="7.7602120974076982E-2"/>
    <n v="8.2237252861602508E-2"/>
    <n v="7.8840782122905032E-2"/>
    <n v="1.8921787709497151E-4"/>
    <s v="0.05 - 0.5"/>
    <s v="&lt;10"/>
    <x v="1"/>
    <s v="Other"/>
  </r>
  <r>
    <x v="53"/>
    <s v="FRAX"/>
    <n v="0.67689999999999995"/>
    <n v="2.9999999999999997E-4"/>
    <n v="6.0900000000000003E-2"/>
    <n v="0.04"/>
    <n v="64206456"/>
    <n v="3410461"/>
    <n v="94840000"/>
    <n v="-6.6666666666666697E-3"/>
    <n v="0.65086538461538457"/>
    <n v="0.72079650729421774"/>
    <n v="0.67669699090272917"/>
    <n v="2.0300909727077876E-4"/>
    <s v="0.5 - 5"/>
    <s v="&lt;10"/>
    <x v="1"/>
    <s v="Other"/>
  </r>
  <r>
    <x v="54"/>
    <s v="AXL"/>
    <n v="5.6779999999999997E-2"/>
    <n v="8.2000000000000007E-3"/>
    <n v="6.6400000000000001E-2"/>
    <n v="2.5000000000000001E-3"/>
    <n v="63975920"/>
    <n v="122933355"/>
    <n v="1120000000"/>
    <n v="-1.3100000000000001E-2"/>
    <n v="5.6638403990024941E-2"/>
    <n v="6.081833761782348E-2"/>
    <n v="5.631819083515175E-2"/>
    <n v="4.6180916484824669E-4"/>
    <s v="0.05 - 0.5"/>
    <s v="&lt;10"/>
    <x v="1"/>
    <s v="Selected"/>
  </r>
  <r>
    <x v="55"/>
    <s v="ASTR"/>
    <n v="7.4539999999999997E-3"/>
    <n v="2.5999999999999999E-3"/>
    <n v="3.39E-2"/>
    <n v="8.6E-3"/>
    <n v="63771015"/>
    <n v="3647690"/>
    <n v="8550000000.000001"/>
    <n v="-5.8333333333333301E-3"/>
    <n v="7.390442197104898E-3"/>
    <n v="7.7155573957147297E-3"/>
    <n v="7.4346698583682425E-3"/>
    <n v="1.9330141631757232E-5"/>
    <s v="0 - 0.05"/>
    <s v="&lt;10"/>
    <x v="1"/>
    <s v="Selected"/>
  </r>
  <r>
    <x v="56"/>
    <s v="QUBIC"/>
    <n v="6.4699000000000007E-2"/>
    <n v="1.5E-3"/>
    <n v="2.8799999999999999E-2"/>
    <n v="1.61E-2"/>
    <n v="63587656"/>
    <n v="1574497"/>
    <n v="135320000000000"/>
    <n v="-2.7333333333333298E-3"/>
    <n v="6.3673850998917439E-2"/>
    <n v="6.661758649093906E-2"/>
    <n v="6.4602096854717919E-2"/>
    <n v="9.6903145282087322E-5"/>
    <s v="0.05 - 0.5"/>
    <s v="&lt;10"/>
    <x v="1"/>
    <s v="Other"/>
  </r>
  <r>
    <x v="57"/>
    <s v="XPR"/>
    <n v="2.2269999999999998E-3"/>
    <n v="2.0299999999999999E-2"/>
    <n v="4.4299999999999999E-2"/>
    <n v="3.09E-2"/>
    <n v="63553814"/>
    <n v="1679635"/>
    <n v="28530000000"/>
    <n v="1.58333333333333E-2"/>
    <n v="2.1602483267048212E-3"/>
    <n v="2.3302291514073451E-3"/>
    <n v="2.1826913652847201E-3"/>
    <n v="4.4308634715279748E-5"/>
    <s v="0 - 0.05"/>
    <s v="&lt;10"/>
    <x v="1"/>
    <s v="Other"/>
  </r>
  <r>
    <x v="58"/>
    <s v="PCI"/>
    <n v="5.969E-2"/>
    <n v="2.0999999999999999E-3"/>
    <n v="5.0000000000000001E-3"/>
    <n v="3.8E-3"/>
    <n v="63465177"/>
    <n v="666707"/>
    <n v="1060000000"/>
    <n v="1.6999999999999999E-3"/>
    <n v="5.9464036660689376E-2"/>
    <n v="5.9989949748743721E-2"/>
    <n v="5.9564913681269337E-2"/>
    <n v="1.2508631873066334E-4"/>
    <s v="0.05 - 0.5"/>
    <s v="&lt;10"/>
    <x v="1"/>
    <s v="Other"/>
  </r>
  <r>
    <x v="59"/>
    <s v="HSK"/>
    <n v="0.182"/>
    <n v="2E-3"/>
    <n v="0.17979999999999999"/>
    <n v="0.18390000000000001"/>
    <n v="62798256"/>
    <n v="8207139"/>
    <n v="344960000"/>
    <n v="3.3666666666666701E-3"/>
    <n v="0.1537292001013599"/>
    <n v="0.22189709826871493"/>
    <n v="0.18163672654690619"/>
    <n v="3.6327345309380976E-4"/>
    <s v="0.05 - 0.5"/>
    <s v="&lt;10"/>
    <x v="1"/>
    <s v="Other"/>
  </r>
  <r>
    <x v="60"/>
    <s v="PARTI"/>
    <n v="0.1002"/>
    <n v="5.7999999999999996E-3"/>
    <n v="8.8400000000000006E-2"/>
    <n v="2.3E-2"/>
    <n v="45056505"/>
    <n v="16413277"/>
    <n v="449640000"/>
    <n v="-1.6E-2"/>
    <n v="9.7947214076246347E-2"/>
    <n v="0.10991663010092145"/>
    <n v="9.9622191290515014E-2"/>
    <n v="5.7780870948498375E-4"/>
    <s v="0.05 - 0.5"/>
    <s v="&lt;10"/>
    <x v="1"/>
    <s v="Other"/>
  </r>
  <r>
    <x v="61"/>
    <s v="CSPR"/>
    <n v="3.2429999999999998E-3"/>
    <n v="7.6E-3"/>
    <n v="6.3200000000000006E-2"/>
    <n v="3.6299999999999999E-2"/>
    <n v="45044480"/>
    <n v="1438190"/>
    <n v="13880000000"/>
    <n v="-1.3666666666666701E-3"/>
    <n v="3.1294026826208625E-3"/>
    <n v="3.4617847993168231E-3"/>
    <n v="3.2185391028185786E-3"/>
    <n v="2.4460897181421189E-5"/>
    <s v="0 - 0.05"/>
    <s v="&lt;10"/>
    <x v="1"/>
    <s v="Selected"/>
  </r>
  <r>
    <x v="62"/>
    <s v="ARDR"/>
    <n v="4.5039999999999997E-2"/>
    <n v="1.8E-3"/>
    <n v="4.9399999999999999E-2"/>
    <n v="7.9000000000000008E-3"/>
    <n v="44978557"/>
    <n v="2473455"/>
    <n v="998460000"/>
    <n v="-1.20333333333333E-2"/>
    <n v="4.4686972913979557E-2"/>
    <n v="4.7380601725226172E-2"/>
    <n v="4.495907366739868E-2"/>
    <n v="8.0926332601316542E-5"/>
    <s v="0 - 0.05"/>
    <s v="&lt;10"/>
    <x v="1"/>
    <s v="Selected"/>
  </r>
  <r>
    <x v="63"/>
    <s v="IRYS"/>
    <n v="2.043E-2"/>
    <n v="4.3E-3"/>
    <n v="7.2900000000000006E-2"/>
    <n v="0.1729"/>
    <n v="44759905"/>
    <n v="9264254"/>
    <n v="2180000000"/>
    <n v="3.7633333333333303E-2"/>
    <n v="1.7418364736976725E-2"/>
    <n v="2.203645777154568E-2"/>
    <n v="2.0342527133326696E-2"/>
    <n v="8.74728666733042E-5"/>
    <s v="0 - 0.05"/>
    <s v="&lt;10"/>
    <x v="1"/>
    <s v="Selected"/>
  </r>
  <r>
    <x v="64"/>
    <s v="FB"/>
    <n v="0.46310000000000001"/>
    <n v="2.8E-3"/>
    <n v="1.4999999999999999E-2"/>
    <n v="0.06"/>
    <n v="44603782"/>
    <n v="2534819"/>
    <n v="96310000"/>
    <n v="1.78E-2"/>
    <n v="0.43688679245283019"/>
    <n v="0.47015228426395939"/>
    <n v="0.46180694056641408"/>
    <n v="1.2930594335859302E-3"/>
    <s v="0.05 - 0.5"/>
    <s v="&lt;10"/>
    <x v="1"/>
    <s v="Other"/>
  </r>
  <r>
    <x v="65"/>
    <s v="VANA"/>
    <n v="1.48"/>
    <n v="4.4000000000000003E-3"/>
    <n v="1.9199999999999998E-2"/>
    <n v="5.6300000000000003E-2"/>
    <n v="44588598"/>
    <n v="5921669"/>
    <n v="30080000"/>
    <n v="1.6766666666666701E-2"/>
    <n v="1.4011171068825143"/>
    <n v="1.5089722675367048"/>
    <n v="1.4735165272799682"/>
    <n v="6.4834727200318021E-3"/>
    <s v="0.5 - 5"/>
    <s v="&lt;10"/>
    <x v="1"/>
    <s v="Other"/>
  </r>
  <r>
    <x v="66"/>
    <s v="RPL"/>
    <n v="2"/>
    <n v="1.24E-2"/>
    <n v="1.7899999999999999E-2"/>
    <n v="0.1492"/>
    <n v="44476085"/>
    <n v="6949561"/>
    <n v="22200000"/>
    <n v="5.6166666666666698E-2"/>
    <n v="1.7403411068569439"/>
    <n v="2.0364524997454434"/>
    <n v="1.9755037534571316"/>
    <n v="2.4496246542868416E-2"/>
    <s v="0.5 - 5"/>
    <s v="&lt;10"/>
    <x v="1"/>
    <s v="Other"/>
  </r>
  <r>
    <x v="67"/>
    <s v="POLYX"/>
    <n v="4.3279999999999999E-2"/>
    <n v="4.7000000000000002E-3"/>
    <n v="3.1699999999999999E-2"/>
    <n v="4.5999999999999999E-3"/>
    <n v="44476314"/>
    <n v="1732389"/>
    <n v="1020000000"/>
    <n v="-4.3333333333333297E-3"/>
    <n v="4.3081823611387619E-2"/>
    <n v="4.4696891459258488E-2"/>
    <n v="4.3077535582761027E-2"/>
    <n v="2.0246441723897196E-4"/>
    <s v="0 - 0.05"/>
    <s v="&lt;10"/>
    <x v="1"/>
    <s v="Other"/>
  </r>
  <r>
    <x v="68"/>
    <s v="ORBS"/>
    <n v="1.0149999999999999E-2"/>
    <n v="4.5999999999999999E-3"/>
    <n v="3.2000000000000002E-3"/>
    <n v="1.9099999999999999E-2"/>
    <n v="44295362"/>
    <n v="6845123"/>
    <n v="4360000000"/>
    <n v="9.9000000000000008E-3"/>
    <n v="9.9597684231184386E-3"/>
    <n v="1.018258426966292E-2"/>
    <n v="1.0103523790563408E-2"/>
    <n v="4.647620943659149E-5"/>
    <s v="0 - 0.05"/>
    <s v="&lt;10"/>
    <x v="1"/>
    <s v="Selected"/>
  </r>
  <r>
    <x v="69"/>
    <s v="NOW"/>
    <n v="0.5222"/>
    <n v="9.4999999999999998E-3"/>
    <n v="8.14E-2"/>
    <n v="3.27E-2"/>
    <n v="44286170"/>
    <n v="13715"/>
    <n v="84800000"/>
    <n v="-6.7333333333333299E-3"/>
    <n v="0.50566476227365165"/>
    <n v="0.56847376442412367"/>
    <n v="0.51728578504209999"/>
    <n v="4.9142149579000094E-3"/>
    <s v="0.5 - 5"/>
    <s v="&lt;10"/>
    <x v="1"/>
    <s v="Selected"/>
  </r>
  <r>
    <x v="70"/>
    <s v="GUSD"/>
    <n v="0.99980000000000002"/>
    <n v="0"/>
    <n v="1E-4"/>
    <n v="1.1999999999999999E-3"/>
    <n v="44116467"/>
    <n v="1155229"/>
    <n v="44120000"/>
    <n v="3.66666666666667E-4"/>
    <n v="0.99860167798641619"/>
    <n v="0.99989998999899987"/>
    <n v="0.99980000000000002"/>
    <n v="0"/>
    <s v="0.5 - 5"/>
    <s v="&lt;10"/>
    <x v="1"/>
    <s v="Other"/>
  </r>
  <r>
    <x v="71"/>
    <s v="AIAT"/>
    <n v="0.30059999999999998"/>
    <n v="2.3999999999999998E-3"/>
    <n v="9.1999999999999998E-3"/>
    <n v="1.9400000000000001E-2"/>
    <n v="44012989"/>
    <n v="373796"/>
    <n v="146380000"/>
    <n v="5.7999999999999996E-3"/>
    <n v="0.29487934078869921"/>
    <n v="0.30339119903108597"/>
    <n v="0.29988028731045491"/>
    <n v="7.1971268954507117E-4"/>
    <s v="0.05 - 0.5"/>
    <s v="&lt;10"/>
    <x v="1"/>
    <s v="Selected"/>
  </r>
  <r>
    <x v="72"/>
    <s v="MASK"/>
    <n v="0.43969999999999998"/>
    <n v="7.7000000000000002E-3"/>
    <n v="4.1799999999999997E-2"/>
    <n v="0.01"/>
    <n v="43972356"/>
    <n v="17237868"/>
    <n v="100000000"/>
    <n v="-2.8999999999999998E-3"/>
    <n v="0.43534653465346534"/>
    <n v="0.45888123565017735"/>
    <n v="0.43634018060930829"/>
    <n v="3.3598193906916873E-3"/>
    <s v="0.05 - 0.5"/>
    <s v="&lt;10"/>
    <x v="1"/>
    <s v="Other"/>
  </r>
  <r>
    <x v="73"/>
    <s v="SAHARA"/>
    <n v="1.5100000000000001E-2"/>
    <n v="4.0000000000000001E-3"/>
    <n v="2.8899999999999999E-2"/>
    <n v="1E-4"/>
    <n v="43933931"/>
    <n v="9212633"/>
    <n v="2900000000"/>
    <n v="-5.5999999999999999E-3"/>
    <n v="1.5098490150984903E-2"/>
    <n v="1.5549376995160128E-2"/>
    <n v="1.5039840637450199E-2"/>
    <n v="6.0159362549801546E-5"/>
    <s v="0 - 0.05"/>
    <s v="&lt;10"/>
    <x v="1"/>
    <s v="Other"/>
  </r>
  <r>
    <x v="74"/>
    <s v="APEX"/>
    <n v="0.31819999999999998"/>
    <n v="2.0000000000000001E-4"/>
    <n v="1.8E-3"/>
    <n v="5.0900000000000001E-2"/>
    <n v="43765925"/>
    <n v="3003343"/>
    <n v="137510000"/>
    <n v="1.6566666666666698E-2"/>
    <n v="0.30278808640213151"/>
    <n v="0.31877379282708873"/>
    <n v="0.31813637272545492"/>
    <n v="6.3627274545063894E-5"/>
    <s v="0.05 - 0.5"/>
    <s v="&lt;10"/>
    <x v="1"/>
    <s v="Selected"/>
  </r>
  <r>
    <x v="75"/>
    <s v="IO"/>
    <n v="0.1163"/>
    <n v="6.8999999999999999E-3"/>
    <n v="3.3599999999999998E-2"/>
    <n v="6.9900000000000004E-2"/>
    <n v="33187400"/>
    <n v="11031512"/>
    <n v="285310000"/>
    <n v="1.9E-2"/>
    <n v="0.1087017478268997"/>
    <n v="0.12034354304635761"/>
    <n v="0.11550302909921542"/>
    <n v="7.9697090078457988E-4"/>
    <s v="0.05 - 0.5"/>
    <s v="&lt;10"/>
    <x v="1"/>
    <s v="Other"/>
  </r>
  <r>
    <x v="76"/>
    <s v="GLDX"/>
    <n v="475.3"/>
    <n v="1.9E-3"/>
    <n v="2.3E-3"/>
    <n v="3.7600000000000001E-2"/>
    <n v="33059911"/>
    <n v="475440"/>
    <n v="69550"/>
    <n v="1.36666666666667E-2"/>
    <n v="458.07632999228986"/>
    <n v="476.39571013330658"/>
    <n v="474.39864257909971"/>
    <n v="0.9013574209002968"/>
    <s v="&gt;50"/>
    <s v="&gt;=10"/>
    <x v="0"/>
    <s v="Other"/>
  </r>
  <r>
    <x v="77"/>
    <s v="CTK"/>
    <n v="0.2109"/>
    <n v="1.0200000000000001E-2"/>
    <n v="0.1222"/>
    <n v="2.6800000000000001E-2"/>
    <n v="32960796"/>
    <n v="3203872"/>
    <n v="156250000"/>
    <n v="-2.1600000000000001E-2"/>
    <n v="0.20539540319439037"/>
    <n v="0.24025974025974026"/>
    <n v="0.20877054048703228"/>
    <n v="2.1294595129677241E-3"/>
    <s v="0.05 - 0.5"/>
    <s v="&lt;10"/>
    <x v="1"/>
    <s v="Other"/>
  </r>
  <r>
    <x v="78"/>
    <s v="AUCTION"/>
    <n v="4.9800000000000004"/>
    <n v="5.4999999999999997E-3"/>
    <n v="1.8599999999999998E-2"/>
    <n v="1.6899999999999998E-2"/>
    <n v="32861595"/>
    <n v="8992170"/>
    <n v="6590000"/>
    <n v="4.9333333333333304E-3"/>
    <n v="4.8972366997738233"/>
    <n v="5.0743835337273282"/>
    <n v="4.9527598209845847"/>
    <n v="2.7240179015415755E-2"/>
    <s v="0.5 - 5"/>
    <s v="&lt;10"/>
    <x v="1"/>
    <s v="Selected"/>
  </r>
  <r>
    <x v="79"/>
    <s v="KLK"/>
    <n v="0.3271"/>
    <n v="2.0999999999999999E-3"/>
    <n v="2.9999999999999997E-4"/>
    <n v="7.4200000000000002E-2"/>
    <n v="32719123"/>
    <n v="598215"/>
    <n v="100000000"/>
    <n v="2.67333333333333E-2"/>
    <n v="0.30450567864457267"/>
    <n v="0.32719815944783431"/>
    <n v="0.32641452948807503"/>
    <n v="6.8547051192496822E-4"/>
    <s v="0.05 - 0.5"/>
    <s v="&lt;10"/>
    <x v="1"/>
    <s v="Other"/>
  </r>
  <r>
    <x v="80"/>
    <s v="RIF"/>
    <n v="3.27E-2"/>
    <n v="5.8999999999999999E-3"/>
    <n v="2.3699999999999999E-2"/>
    <n v="1.9E-3"/>
    <n v="32706820"/>
    <n v="2413431"/>
    <n v="1000000000"/>
    <n v="-1.3666666666666701E-3"/>
    <n v="3.2637987823136039E-2"/>
    <n v="3.3493803134282497E-2"/>
    <n v="3.2508201610498062E-2"/>
    <n v="1.9179838950193762E-4"/>
    <s v="0 - 0.05"/>
    <s v="&lt;10"/>
    <x v="1"/>
    <s v="Other"/>
  </r>
  <r>
    <x v="81"/>
    <s v="UCN"/>
    <n v="651.57000000000005"/>
    <n v="8.0000000000000004E-4"/>
    <n v="7.2900000000000006E-2"/>
    <n v="0.1663"/>
    <n v="32578599"/>
    <n v="6223970"/>
    <n v="50000"/>
    <n v="3.19333333333333E-2"/>
    <n v="558.66415159049984"/>
    <n v="702.80444396505231"/>
    <n v="651.04916067146291"/>
    <n v="0.52083932853713577"/>
    <s v="&gt;50"/>
    <s v="&gt;=10"/>
    <x v="0"/>
    <s v="Selected"/>
  </r>
  <r>
    <x v="82"/>
    <s v="CVC"/>
    <n v="3.2469999999999999E-2"/>
    <n v="1.6999999999999999E-3"/>
    <n v="2.2700000000000001E-2"/>
    <n v="2.1499999999999998E-2"/>
    <n v="32473808"/>
    <n v="2924893"/>
    <n v="1000000000"/>
    <n v="1.2999999999999999E-3"/>
    <n v="3.1786588350465002E-2"/>
    <n v="3.3224189092397424E-2"/>
    <n v="3.2414894679045618E-2"/>
    <n v="5.5105320954380865E-5"/>
    <s v="0 - 0.05"/>
    <s v="&lt;10"/>
    <x v="1"/>
    <s v="Selected"/>
  </r>
  <r>
    <x v="83"/>
    <s v="MGO"/>
    <n v="2.018E-2"/>
    <n v="4.7000000000000002E-3"/>
    <n v="2.0899999999999998E-2"/>
    <n v="4.1099999999999998E-2"/>
    <n v="32356518"/>
    <n v="4372888"/>
    <n v="1600000000"/>
    <n v="1.1433333333333301E-2"/>
    <n v="1.9383344539429453E-2"/>
    <n v="2.061076498825452E-2"/>
    <n v="2.0085597690852993E-2"/>
    <n v="9.440230914700698E-5"/>
    <s v="0 - 0.05"/>
    <s v="&lt;10"/>
    <x v="1"/>
    <s v="Other"/>
  </r>
  <r>
    <x v="84"/>
    <s v="OPEN"/>
    <n v="0.1497"/>
    <n v="1E-3"/>
    <n v="8.0999999999999996E-3"/>
    <n v="4.3400000000000001E-2"/>
    <n v="32273579"/>
    <n v="7677817"/>
    <n v="215500000"/>
    <n v="1.27666666666667E-2"/>
    <n v="0.14347326049453707"/>
    <n v="0.15092247202338946"/>
    <n v="0.14955044955044958"/>
    <n v="1.4955044955042296E-4"/>
    <s v="0.05 - 0.5"/>
    <s v="&lt;10"/>
    <x v="1"/>
    <s v="Selected"/>
  </r>
  <r>
    <x v="85"/>
    <s v="BNT"/>
    <n v="0.29459999999999997"/>
    <n v="1.1999999999999999E-3"/>
    <n v="6.9199999999999998E-2"/>
    <n v="3.78E-2"/>
    <n v="32265827"/>
    <n v="3307258"/>
    <n v="109510000"/>
    <n v="-9.2666666666666592E-3"/>
    <n v="0.28386972441703601"/>
    <n v="0.31650193382036956"/>
    <n v="0.2942469037155413"/>
    <n v="3.5309628445867602E-4"/>
    <s v="0.05 - 0.5"/>
    <s v="&lt;10"/>
    <x v="1"/>
    <s v="Selected"/>
  </r>
  <r>
    <x v="86"/>
    <s v="WOO"/>
    <n v="1.7059999999999999E-2"/>
    <n v="8.3000000000000001E-3"/>
    <n v="0.1149"/>
    <n v="2.6100000000000002E-2"/>
    <n v="32237643"/>
    <n v="8124420"/>
    <n v="1880000000"/>
    <n v="-2.1299999999999999E-2"/>
    <n v="1.6626059838222393E-2"/>
    <n v="1.9274658230708393E-2"/>
    <n v="1.6919567589011208E-2"/>
    <n v="1.4043241098879097E-4"/>
    <s v="0 - 0.05"/>
    <s v="&lt;10"/>
    <x v="1"/>
    <s v="Other"/>
  </r>
  <r>
    <x v="87"/>
    <s v="MUon"/>
    <n v="432.07"/>
    <n v="1E-4"/>
    <n v="2.64E-2"/>
    <n v="1.03E-2"/>
    <n v="31913954"/>
    <n v="5063033"/>
    <n v="73860"/>
    <n v="-5.2666666666666704E-3"/>
    <n v="427.6650499851529"/>
    <n v="443.78594905505338"/>
    <n v="432.02679732026797"/>
    <n v="4.3202679732019078E-2"/>
    <s v="&gt;50"/>
    <s v="&gt;=10"/>
    <x v="0"/>
    <s v="Other"/>
  </r>
  <r>
    <x v="88"/>
    <s v="CROSS"/>
    <n v="9.4979999999999995E-2"/>
    <n v="8.8000000000000005E-3"/>
    <n v="4.4699999999999997E-2"/>
    <n v="0.1099"/>
    <n v="31841781"/>
    <n v="4159527"/>
    <n v="335220000"/>
    <n v="3.0533333333333301E-2"/>
    <n v="8.5575277051986656E-2"/>
    <n v="9.9424264628912379E-2"/>
    <n v="9.4151467089611418E-2"/>
    <n v="8.285329103885769E-4"/>
    <s v="0.05 - 0.5"/>
    <s v="&lt;10"/>
    <x v="1"/>
    <s v="Selected"/>
  </r>
  <r>
    <x v="89"/>
    <s v="COTI"/>
    <n v="1.188E-2"/>
    <n v="5.0000000000000001E-3"/>
    <n v="1.4800000000000001E-2"/>
    <n v="2.6599999999999999E-2"/>
    <n v="31829663"/>
    <n v="5797345"/>
    <n v="2670000000"/>
    <n v="8.9333333333333296E-3"/>
    <n v="1.1572180011689071E-2"/>
    <n v="1.2058465286236298E-2"/>
    <n v="1.1820895522388061E-2"/>
    <n v="5.9104477611938641E-5"/>
    <s v="0 - 0.05"/>
    <s v="&lt;10"/>
    <x v="1"/>
    <s v="Selected"/>
  </r>
  <r>
    <x v="90"/>
    <s v="METIS"/>
    <n v="3.33"/>
    <n v="3.7000000000000002E-3"/>
    <n v="2.8899999999999999E-2"/>
    <n v="6.8699999999999997E-2"/>
    <n v="24358450"/>
    <n v="4771360"/>
    <n v="7290000"/>
    <n v="1.6966666666666699E-2"/>
    <n v="3.1159352484326752"/>
    <n v="3.4291010194624656"/>
    <n v="3.317724419647305"/>
    <n v="1.2275580352695048E-2"/>
    <s v="0.5 - 5"/>
    <s v="&lt;10"/>
    <x v="1"/>
    <s v="Other"/>
  </r>
  <r>
    <x v="91"/>
    <s v="QQQon"/>
    <n v="617"/>
    <n v="1.1000000000000001E-3"/>
    <n v="1.18E-2"/>
    <n v="1.37E-2"/>
    <n v="24329278"/>
    <n v="2509418"/>
    <n v="39430"/>
    <n v="1.73333333333333E-3"/>
    <n v="608.66133964683831"/>
    <n v="624.36753693584296"/>
    <n v="616.32204574967534"/>
    <n v="0.67795425032466028"/>
    <s v="&gt;50"/>
    <s v="&gt;=10"/>
    <x v="0"/>
    <s v="Selected"/>
  </r>
  <r>
    <x v="92"/>
    <s v="C98"/>
    <n v="2.4299999999999999E-2"/>
    <n v="4.4999999999999997E-3"/>
    <n v="6.88E-2"/>
    <n v="0.12570000000000001"/>
    <n v="24307735"/>
    <n v="10527610"/>
    <n v="999990000"/>
    <n v="2.3466666666666702E-2"/>
    <n v="2.1586568357466467E-2"/>
    <n v="2.6095360824742266E-2"/>
    <n v="2.4191139870582381E-2"/>
    <n v="1.088601294176178E-4"/>
    <s v="0 - 0.05"/>
    <s v="&lt;10"/>
    <x v="1"/>
    <s v="Selected"/>
  </r>
  <r>
    <x v="93"/>
    <s v="LISTA"/>
    <n v="8.5010000000000002E-2"/>
    <n v="3.3E-3"/>
    <n v="3.5000000000000003E-2"/>
    <n v="1.7600000000000001E-2"/>
    <n v="24126349"/>
    <n v="3982680"/>
    <n v="283780000"/>
    <n v="-2.5000000000000001E-3"/>
    <n v="8.3539701257861629E-2"/>
    <n v="8.8093264248704672E-2"/>
    <n v="8.4730389713943977E-2"/>
    <n v="2.7961028605602567E-4"/>
    <s v="0.05 - 0.5"/>
    <s v="&lt;10"/>
    <x v="1"/>
    <s v="Other"/>
  </r>
  <r>
    <x v="94"/>
    <s v="NVDAon"/>
    <n v="197.74"/>
    <n v="1.8E-3"/>
    <n v="2.1299999999999999E-2"/>
    <n v="4.7699999999999999E-2"/>
    <n v="24052749"/>
    <n v="8816189"/>
    <n v="121630"/>
    <n v="1.06E-2"/>
    <n v="188.73723394101364"/>
    <n v="202.04352712782264"/>
    <n v="197.38470752645239"/>
    <n v="0.35529247354762106"/>
    <s v="&gt;50"/>
    <s v="&gt;=10"/>
    <x v="0"/>
    <s v="Other"/>
  </r>
  <r>
    <x v="95"/>
    <s v="SANTOS"/>
    <n v="1.49"/>
    <n v="1.6999999999999999E-3"/>
    <n v="5.4000000000000003E-3"/>
    <n v="0.22489999999999999"/>
    <n v="24011157"/>
    <n v="10575909"/>
    <n v="16090000"/>
    <n v="7.4866666666666706E-2"/>
    <n v="1.2164258306800557"/>
    <n v="1.4980896842951941"/>
    <n v="1.4874712987920535"/>
    <n v="2.5287012079464599E-3"/>
    <s v="0.5 - 5"/>
    <s v="&lt;10"/>
    <x v="1"/>
    <s v="Other"/>
  </r>
  <r>
    <x v="96"/>
    <s v="SONIC"/>
    <n v="4.9450000000000001E-2"/>
    <n v="9.7999999999999997E-3"/>
    <n v="2.3699999999999999E-2"/>
    <n v="2.23E-2"/>
    <n v="23984239"/>
    <n v="51769623"/>
    <n v="484960000"/>
    <n v="9.3333333333333393E-3"/>
    <n v="4.8371319573510714E-2"/>
    <n v="5.0650414831506715E-2"/>
    <n v="4.8970093087740148E-2"/>
    <n v="4.7990691225985316E-4"/>
    <s v="0 - 0.05"/>
    <s v="&lt;10"/>
    <x v="1"/>
    <s v="Other"/>
  </r>
  <r>
    <x v="97"/>
    <s v="ACX"/>
    <n v="3.4819999999999997E-2"/>
    <n v="2.0999999999999999E-3"/>
    <n v="7.17E-2"/>
    <n v="3.09E-2"/>
    <n v="23966887"/>
    <n v="1595985"/>
    <n v="688150000"/>
    <n v="-1.15E-2"/>
    <n v="3.3776311960422932E-2"/>
    <n v="3.7509425832166321E-2"/>
    <n v="3.4747031234407741E-2"/>
    <n v="7.2968765592255902E-5"/>
    <s v="0 - 0.05"/>
    <s v="&lt;10"/>
    <x v="1"/>
    <s v="Selected"/>
  </r>
  <r>
    <x v="98"/>
    <s v="SAPIEN"/>
    <n v="9.5850000000000005E-2"/>
    <n v="5.8999999999999999E-3"/>
    <n v="7.3999999999999996E-2"/>
    <n v="0.14649999999999999"/>
    <n v="23963470"/>
    <n v="10429244"/>
    <n v="250000000"/>
    <n v="3.00666666666667E-2"/>
    <n v="8.3602267771478417E-2"/>
    <n v="0.1035097192224622"/>
    <n v="9.5287801968386529E-2"/>
    <n v="5.6219803161347559E-4"/>
    <s v="0.05 - 0.5"/>
    <s v="&lt;10"/>
    <x v="1"/>
    <s v="Other"/>
  </r>
  <r>
    <x v="99"/>
    <s v="ACU"/>
    <n v="0.1103"/>
    <n v="1.55E-2"/>
    <n v="1.1599999999999999E-2"/>
    <n v="8.2199999999999995E-2"/>
    <n v="23947949"/>
    <n v="5742122"/>
    <n v="217000000"/>
    <n v="3.9033333333333302E-2"/>
    <n v="0.10192201071890593"/>
    <n v="0.11159449615540268"/>
    <n v="0.10861644510093549"/>
    <n v="1.6835548990645072E-3"/>
    <s v="0.05 - 0.5"/>
    <s v="&lt;10"/>
    <x v="1"/>
    <s v="Selected"/>
  </r>
  <r>
    <x v="100"/>
    <s v="CHEEL"/>
    <n v="0.41959999999999997"/>
    <n v="1.8E-3"/>
    <n v="4.7E-2"/>
    <n v="2.5899999999999999E-2"/>
    <n v="23849721"/>
    <n v="1998691"/>
    <n v="56820000"/>
    <n v="-5.2333333333333303E-3"/>
    <n v="0.40900672580173503"/>
    <n v="0.44029380902413429"/>
    <n v="0.41884607706128962"/>
    <n v="7.5392293871034965E-4"/>
    <s v="0.05 - 0.5"/>
    <s v="&lt;10"/>
    <x v="1"/>
    <s v="Selected"/>
  </r>
  <r>
    <x v="101"/>
    <s v="QKC"/>
    <n v="3.3029999999999999E-3"/>
    <n v="3.3999999999999998E-3"/>
    <n v="2.3E-2"/>
    <n v="4.4000000000000003E-3"/>
    <n v="23827588"/>
    <n v="1585753"/>
    <n v="7210000000"/>
    <n v="-2.8E-3"/>
    <n v="3.2885304659498208E-3"/>
    <n v="3.3807574206755372E-3"/>
    <n v="3.291807853298784E-3"/>
    <n v="1.1192146701215992E-5"/>
    <s v="0 - 0.05"/>
    <s v="&lt;10"/>
    <x v="1"/>
    <s v="Other"/>
  </r>
  <r>
    <x v="102"/>
    <s v="TAIKO"/>
    <n v="0.12379999999999999"/>
    <n v="0"/>
    <n v="2.4500000000000001E-2"/>
    <n v="3.7900000000000003E-2"/>
    <n v="23824954"/>
    <n v="2516336"/>
    <n v="192420000"/>
    <n v="4.46666666666667E-3"/>
    <n v="0.1192793139994219"/>
    <n v="0.12690927729369553"/>
    <n v="0.12379999999999999"/>
    <n v="0"/>
    <s v="0.05 - 0.5"/>
    <s v="&lt;10"/>
    <x v="1"/>
    <s v="Other"/>
  </r>
  <r>
    <x v="103"/>
    <s v="TPT"/>
    <n v="6.8389999999999996E-3"/>
    <n v="8.0000000000000004E-4"/>
    <n v="1.0500000000000001E-2"/>
    <n v="7.0000000000000001E-3"/>
    <n v="23708110"/>
    <n v="88715"/>
    <n v="3460000000"/>
    <n v="-3.66666666666667E-4"/>
    <n v="6.791459781529295E-3"/>
    <n v="6.9115715007579577E-3"/>
    <n v="6.8335331734612316E-3"/>
    <n v="5.4668265387679618E-6"/>
    <s v="0 - 0.05"/>
    <s v="&lt;10"/>
    <x v="1"/>
    <s v="Other"/>
  </r>
  <r>
    <x v="104"/>
    <s v="AIO"/>
    <n v="7.7380000000000004E-2"/>
    <n v="1.4200000000000001E-2"/>
    <n v="3.2199999999999999E-2"/>
    <n v="4.7300000000000002E-2"/>
    <n v="17818597"/>
    <n v="6799409"/>
    <n v="230250000"/>
    <n v="1.92333333333333E-2"/>
    <n v="7.3885228683280832E-2"/>
    <n v="7.9954536061169673E-2"/>
    <n v="7.6296588444093871E-2"/>
    <n v="1.083411555906133E-3"/>
    <s v="0.05 - 0.5"/>
    <s v="&lt;10"/>
    <x v="1"/>
    <s v="Selected"/>
  </r>
  <r>
    <x v="105"/>
    <s v="PAAL"/>
    <n v="1.7809999999999999E-2"/>
    <n v="8.3000000000000001E-3"/>
    <n v="6.0699999999999997E-2"/>
    <n v="4.1000000000000002E-2"/>
    <n v="17786067"/>
    <n v="2200722"/>
    <n v="998650000"/>
    <n v="1.73333333333334E-3"/>
    <n v="1.7108549471661863E-2"/>
    <n v="1.8960928350899606E-2"/>
    <n v="1.7663393831201031E-2"/>
    <n v="1.4660616879896837E-4"/>
    <s v="0 - 0.05"/>
    <s v="&lt;10"/>
    <x v="1"/>
    <s v="Other"/>
  </r>
  <r>
    <x v="106"/>
    <s v="SLND"/>
    <n v="0.17710000000000001"/>
    <n v="0"/>
    <n v="7.9000000000000008E-3"/>
    <n v="3.2300000000000002E-2"/>
    <n v="17710259"/>
    <n v="40"/>
    <n v="100000000"/>
    <n v="8.1333333333333396E-3"/>
    <n v="0.17155865542962317"/>
    <n v="0.1785102308235057"/>
    <n v="0.17710000000000001"/>
    <n v="0"/>
    <s v="0.05 - 0.5"/>
    <s v="&lt;10"/>
    <x v="1"/>
    <s v="Other"/>
  </r>
  <r>
    <x v="107"/>
    <s v="BANANA"/>
    <n v="4.4000000000000004"/>
    <n v="3.3E-3"/>
    <n v="5.57E-2"/>
    <n v="1.2699999999999999E-2"/>
    <n v="17663532"/>
    <n v="4268173"/>
    <n v="4000000"/>
    <n v="-1.10333333333333E-2"/>
    <n v="4.3448207761429849"/>
    <n v="4.6595361643545488"/>
    <n v="4.3855277583972887"/>
    <n v="1.4472241602711655E-2"/>
    <s v="0.5 - 5"/>
    <s v="&lt;10"/>
    <x v="1"/>
    <s v="Selected"/>
  </r>
  <r>
    <x v="108"/>
    <s v="XAN"/>
    <n v="7.0619999999999997E-3"/>
    <n v="6.4000000000000003E-3"/>
    <n v="2.0500000000000001E-2"/>
    <n v="8.4900000000000003E-2"/>
    <n v="17655551"/>
    <n v="6501500"/>
    <n v="2500000000"/>
    <n v="2.7866666666666699E-2"/>
    <n v="6.5093557009862661E-3"/>
    <n v="7.2098009188361406E-3"/>
    <n v="7.0170906200317969E-3"/>
    <n v="4.490937996820283E-5"/>
    <s v="0 - 0.05"/>
    <s v="&lt;10"/>
    <x v="1"/>
    <s v="Selected"/>
  </r>
  <r>
    <x v="109"/>
    <s v="MBL"/>
    <n v="9.2429999999999997E-4"/>
    <n v="2.8999999999999998E-3"/>
    <n v="5.9999999999999995E-4"/>
    <n v="5.3400000000000003E-2"/>
    <n v="17640631"/>
    <n v="4427621"/>
    <n v="19080000000"/>
    <n v="2.0500000000000001E-2"/>
    <n v="8.774444655401557E-4"/>
    <n v="9.2485491294776873E-4"/>
    <n v="9.2162728088543227E-4"/>
    <n v="2.6727191145677022E-6"/>
    <s v="0 - 0.05"/>
    <s v="&lt;10"/>
    <x v="1"/>
    <s v="Other"/>
  </r>
  <r>
    <x v="110"/>
    <s v="BULLA"/>
    <n v="1.7569999999999999E-2"/>
    <n v="3.32E-2"/>
    <n v="0.10340000000000001"/>
    <n v="0.33329999999999999"/>
    <n v="17571077"/>
    <n v="8753504"/>
    <n v="1000000000"/>
    <n v="0.10983333333333301"/>
    <n v="1.3177829445736143E-2"/>
    <n v="1.9596252509480258E-2"/>
    <n v="1.7005420054200544E-2"/>
    <n v="5.645799457994552E-4"/>
    <s v="0 - 0.05"/>
    <s v="&lt;10"/>
    <x v="1"/>
    <s v="Selected"/>
  </r>
  <r>
    <x v="111"/>
    <s v="ABT"/>
    <n v="0.1774"/>
    <n v="8.0999999999999996E-3"/>
    <n v="6.0299999999999999E-2"/>
    <n v="6.2899999999999998E-2"/>
    <n v="17489712"/>
    <n v="127299"/>
    <n v="98550000"/>
    <n v="8.9666666666666592E-3"/>
    <n v="0.16690187223633457"/>
    <n v="0.18878365435777375"/>
    <n v="0.17597460569387957"/>
    <n v="1.4253943061204311E-3"/>
    <s v="0.05 - 0.5"/>
    <s v="&lt;10"/>
    <x v="1"/>
    <s v="Selected"/>
  </r>
  <r>
    <x v="112"/>
    <s v="CGPT"/>
    <n v="1.9879999999999998E-2"/>
    <n v="2E-3"/>
    <n v="1.6E-2"/>
    <n v="5.4699999999999999E-2"/>
    <n v="17418478"/>
    <n v="7485035"/>
    <n v="876150000"/>
    <n v="1.49E-2"/>
    <n v="1.8848961790082486E-2"/>
    <n v="2.0203252032520325E-2"/>
    <n v="1.9840319361277444E-2"/>
    <n v="3.9680638722554284E-5"/>
    <s v="0 - 0.05"/>
    <s v="&lt;10"/>
    <x v="1"/>
    <s v="Selected"/>
  </r>
  <r>
    <x v="113"/>
    <s v="PONKE"/>
    <n v="3.1309999999999998E-2"/>
    <n v="9.7000000000000003E-3"/>
    <n v="1.5100000000000001E-2"/>
    <n v="3.6499999999999998E-2"/>
    <n v="17394707"/>
    <n v="2462143"/>
    <n v="555540000"/>
    <n v="1.6833333333333301E-2"/>
    <n v="3.0207428847081521E-2"/>
    <n v="3.1790029444613663E-2"/>
    <n v="3.1009210656630679E-2"/>
    <n v="3.0078934336931831E-4"/>
    <s v="0 - 0.05"/>
    <s v="&lt;10"/>
    <x v="1"/>
    <s v="Other"/>
  </r>
  <r>
    <x v="114"/>
    <s v="ZKP"/>
    <n v="8.6230000000000001E-2"/>
    <n v="1.4500000000000001E-2"/>
    <n v="1.8100000000000002E-2"/>
    <n v="5.7700000000000001E-2"/>
    <n v="17389986"/>
    <n v="10038030"/>
    <n v="201660000"/>
    <n v="2.7699999999999999E-2"/>
    <n v="8.1525952538526986E-2"/>
    <n v="8.7819533557388738E-2"/>
    <n v="8.4997535731887633E-2"/>
    <n v="1.2324642681123682E-3"/>
    <s v="0.05 - 0.5"/>
    <s v="&lt;10"/>
    <x v="1"/>
    <s v="Other"/>
  </r>
  <r>
    <x v="115"/>
    <s v="VINE"/>
    <n v="1.7270000000000001E-2"/>
    <n v="6.9999999999999999E-4"/>
    <n v="2.8199999999999999E-2"/>
    <n v="6.4399999999999999E-2"/>
    <n v="17275084"/>
    <n v="3558642"/>
    <n v="999990000"/>
    <n v="1.27666666666667E-2"/>
    <n v="1.6225103344607292E-2"/>
    <n v="1.777114632640461E-2"/>
    <n v="1.7257919456380534E-2"/>
    <n v="1.2080543619466533E-5"/>
    <s v="0 - 0.05"/>
    <s v="&lt;10"/>
    <x v="1"/>
    <s v="Other"/>
  </r>
  <r>
    <x v="116"/>
    <s v="RAIL"/>
    <n v="1.23"/>
    <n v="1E-3"/>
    <n v="7.2800000000000004E-2"/>
    <n v="6.1600000000000002E-2"/>
    <n v="16891530"/>
    <n v="372847"/>
    <n v="13650000"/>
    <n v="-2.7333333333333298E-3"/>
    <n v="1.1586284853051996"/>
    <n v="1.3265746333045729"/>
    <n v="1.2287712287712289"/>
    <n v="1.228771228771075E-3"/>
    <s v="0.5 - 5"/>
    <s v="&lt;10"/>
    <x v="1"/>
    <s v="Other"/>
  </r>
  <r>
    <x v="117"/>
    <s v="C"/>
    <n v="5.3089999999999998E-2"/>
    <n v="5.1000000000000004E-3"/>
    <n v="2.6200000000000001E-2"/>
    <n v="2.7300000000000001E-2"/>
    <n v="16885419"/>
    <n v="3608308"/>
    <n v="317990000"/>
    <n v="5.46666666666667E-3"/>
    <n v="5.1679158960381576E-2"/>
    <n v="5.4518381597864034E-2"/>
    <n v="5.2820614864192608E-2"/>
    <n v="2.693851358073901E-4"/>
    <s v="0.05 - 0.5"/>
    <s v="&lt;10"/>
    <x v="1"/>
    <s v="Selected"/>
  </r>
  <r>
    <x v="118"/>
    <s v="IEFAon"/>
    <n v="99.52"/>
    <n v="2.3E-3"/>
    <n v="4.1999999999999997E-3"/>
    <n v="8.0999999999999996E-3"/>
    <n v="16877556"/>
    <n v="1903788"/>
    <n v="169580"/>
    <n v="3.5999999999999999E-3"/>
    <n v="98.72036504315048"/>
    <n v="99.939746937135965"/>
    <n v="99.291629252718749"/>
    <n v="0.22837074728124662"/>
    <s v="&gt;50"/>
    <s v="&gt;=10"/>
    <x v="0"/>
    <s v="Other"/>
  </r>
  <r>
    <x v="119"/>
    <s v="GLMR"/>
    <n v="1.3050000000000001E-2"/>
    <n v="6.9999999999999999E-4"/>
    <n v="7.3599999999999999E-2"/>
    <n v="3.3599999999999998E-2"/>
    <n v="13962917"/>
    <n v="2153906"/>
    <n v="1060000000"/>
    <n v="-1.26333333333333E-2"/>
    <n v="1.262577399380805E-2"/>
    <n v="1.4086787564766841E-2"/>
    <n v="1.3040871390026984E-2"/>
    <n v="9.1286099730171488E-6"/>
    <s v="0 - 0.05"/>
    <s v="&lt;10"/>
    <x v="1"/>
    <s v="Other"/>
  </r>
  <r>
    <x v="120"/>
    <s v="AVAIL"/>
    <n v="3.7550000000000001E-3"/>
    <n v="5.1000000000000004E-3"/>
    <n v="1.8700000000000001E-2"/>
    <n v="4.41E-2"/>
    <n v="13943710"/>
    <n v="1560282"/>
    <n v="3710000000"/>
    <n v="1.3566666666666701E-2"/>
    <n v="3.5963988123742935E-3"/>
    <n v="3.8265566085804547E-3"/>
    <n v="3.7359466719729378E-3"/>
    <n v="1.9053328027062322E-5"/>
    <s v="0 - 0.05"/>
    <s v="&lt;10"/>
    <x v="1"/>
    <s v="Selected"/>
  </r>
  <r>
    <x v="121"/>
    <s v="YB"/>
    <n v="0.1585"/>
    <n v="4.4999999999999997E-3"/>
    <n v="1.2699999999999999E-2"/>
    <n v="2.5000000000000001E-2"/>
    <n v="13937700"/>
    <n v="6689520"/>
    <n v="87910000"/>
    <n v="8.6E-3"/>
    <n v="0.15463414634146344"/>
    <n v="0.16053884331003748"/>
    <n v="0.15778994524639126"/>
    <n v="7.1005475360874648E-4"/>
    <s v="0.05 - 0.5"/>
    <s v="&lt;10"/>
    <x v="1"/>
    <s v="Other"/>
  </r>
  <r>
    <x v="122"/>
    <s v="OGN"/>
    <n v="2.1069999999999998E-2"/>
    <n v="1.6000000000000001E-3"/>
    <n v="4.8999999999999998E-3"/>
    <n v="5.0200000000000002E-2"/>
    <n v="13929017"/>
    <n v="7452306"/>
    <n v="661070000"/>
    <n v="1.67E-2"/>
    <n v="2.0062845172348121E-2"/>
    <n v="2.1173751381770675E-2"/>
    <n v="2.1036341853035143E-2"/>
    <n v="3.3658146964855862E-5"/>
    <s v="0 - 0.05"/>
    <s v="&lt;10"/>
    <x v="1"/>
    <s v="Selected"/>
  </r>
  <r>
    <x v="123"/>
    <s v="OG"/>
    <n v="3.02"/>
    <n v="1.6000000000000001E-3"/>
    <n v="3.8999999999999998E-3"/>
    <n v="9.8000000000000004E-2"/>
    <n v="13892495"/>
    <n v="7798028"/>
    <n v="4580000"/>
    <n v="3.29666666666667E-2"/>
    <n v="2.7504553734061927"/>
    <n v="3.0318241140447748"/>
    <n v="3.0151757188498403"/>
    <n v="4.8242811501597593E-3"/>
    <s v="0.5 - 5"/>
    <s v="&lt;10"/>
    <x v="1"/>
    <s v="Selected"/>
  </r>
  <r>
    <x v="124"/>
    <s v="RSC"/>
    <n v="0.107"/>
    <n v="1E-3"/>
    <n v="0.16650000000000001"/>
    <n v="9.2499999999999999E-2"/>
    <n v="13873324"/>
    <n v="734731"/>
    <n v="129550000.00000001"/>
    <n v="-2.36666666666667E-2"/>
    <n v="9.7940503432494275E-2"/>
    <n v="0.12837432513497299"/>
    <n v="0.10689310689310691"/>
    <n v="1.068931068930884E-4"/>
    <s v="0.05 - 0.5"/>
    <s v="&lt;10"/>
    <x v="1"/>
    <s v="Other"/>
  </r>
  <r>
    <x v="125"/>
    <s v="XSGD"/>
    <n v="0.79149999999999998"/>
    <n v="6.9999999999999999E-4"/>
    <n v="2.2000000000000001E-3"/>
    <n v="3.3999999999999998E-3"/>
    <n v="13837946"/>
    <n v="289052"/>
    <n v="17480000"/>
    <n v="1.1000000000000001E-3"/>
    <n v="0.78881801873629653"/>
    <n v="0.79324513930647422"/>
    <n v="0.79094633756370547"/>
    <n v="5.5366243629451084E-4"/>
    <s v="0.5 - 5"/>
    <s v="&lt;10"/>
    <x v="1"/>
    <s v="Other"/>
  </r>
  <r>
    <x v="126"/>
    <s v="哈基米"/>
    <n v="1.3809999999999999E-2"/>
    <n v="1.03E-2"/>
    <n v="4.4699999999999997E-2"/>
    <n v="0.29060000000000002"/>
    <n v="13817935"/>
    <n v="1290562"/>
    <n v="1000000000"/>
    <n v="9.2266666666666705E-2"/>
    <n v="1.0700449403378274E-2"/>
    <n v="1.4456191772218151E-2"/>
    <n v="1.366920716618826E-2"/>
    <n v="1.407928338117391E-4"/>
    <s v="0 - 0.05"/>
    <s v="&lt;10"/>
    <x v="1"/>
    <s v="Other"/>
  </r>
  <r>
    <x v="127"/>
    <s v="MSFTX"/>
    <n v="409.71"/>
    <n v="1.5E-3"/>
    <n v="1.7299999999999999E-2"/>
    <n v="1.7399999999999999E-2"/>
    <n v="13816136"/>
    <n v="4386"/>
    <n v="33720"/>
    <n v="1.5333333333333299E-3"/>
    <n v="402.7029683506978"/>
    <n v="416.92276381398187"/>
    <n v="409.09635546679976"/>
    <n v="0.61364453320021539"/>
    <s v="&gt;50"/>
    <s v="&gt;=10"/>
    <x v="0"/>
    <s v="Other"/>
  </r>
  <r>
    <x v="128"/>
    <s v="ANYONE"/>
    <n v="0.14149999999999999"/>
    <n v="2.8999999999999998E-3"/>
    <n v="9.2200000000000004E-2"/>
    <n v="3.4599999999999999E-2"/>
    <n v="13804464"/>
    <n v="581043"/>
    <n v="97490000"/>
    <n v="-1.6299999999999999E-2"/>
    <n v="0.13676783297892905"/>
    <n v="0.15587133729896452"/>
    <n v="0.14109083657393559"/>
    <n v="4.0916342606439615E-4"/>
    <s v="0.05 - 0.5"/>
    <s v="&lt;10"/>
    <x v="1"/>
    <s v="Selected"/>
  </r>
  <r>
    <x v="129"/>
    <s v="ICE"/>
    <n v="2.0820000000000001E-3"/>
    <n v="2.5000000000000001E-3"/>
    <n v="2.2800000000000001E-2"/>
    <n v="0.14480000000000001"/>
    <n v="13777596"/>
    <n v="8894"/>
    <n v="6610000000"/>
    <n v="4.31666666666667E-2"/>
    <n v="1.8186582809224319E-3"/>
    <n v="2.1305771592304546E-3"/>
    <n v="2.0768079800498754E-3"/>
    <n v="5.192019950124669E-6"/>
    <s v="0 - 0.05"/>
    <s v="&lt;10"/>
    <x v="1"/>
    <s v="Selected"/>
  </r>
  <r>
    <x v="130"/>
    <s v="TSLAon"/>
    <n v="414.77"/>
    <n v="1.1000000000000001E-3"/>
    <n v="1.41E-2"/>
    <n v="6.4999999999999997E-3"/>
    <n v="13764557"/>
    <n v="2178974"/>
    <n v="33180"/>
    <n v="-1.4333333333333301E-3"/>
    <n v="412.09140586189767"/>
    <n v="420.7018967440917"/>
    <n v="414.31425432024764"/>
    <n v="0.45574567975234004"/>
    <s v="&gt;50"/>
    <s v="&gt;=10"/>
    <x v="0"/>
    <s v="Other"/>
  </r>
  <r>
    <x v="131"/>
    <s v="FIRO"/>
    <n v="0.748"/>
    <n v="4.5999999999999999E-3"/>
    <n v="5.5100000000000003E-2"/>
    <n v="0.10929999999999999"/>
    <n v="13693981"/>
    <n v="306852"/>
    <n v="18300000"/>
    <n v="2.26666666666667E-2"/>
    <n v="0.67429910754529887"/>
    <n v="0.79161816065192092"/>
    <n v="0.74457495520605221"/>
    <n v="3.4250447939477846E-3"/>
    <s v="0.5 - 5"/>
    <s v="&lt;10"/>
    <x v="1"/>
    <s v="Other"/>
  </r>
  <r>
    <x v="132"/>
    <s v="STAR"/>
    <n v="7.3580000000000007E-2"/>
    <n v="1.6000000000000001E-3"/>
    <n v="1.2999999999999999E-2"/>
    <n v="1.9400000000000001E-2"/>
    <n v="13681580"/>
    <n v="13259161"/>
    <n v="185920000"/>
    <n v="3.7333333333333298E-3"/>
    <n v="7.2179713556994304E-2"/>
    <n v="7.4549138804457959E-2"/>
    <n v="7.3462460063897769E-2"/>
    <n v="1.1753993610223723E-4"/>
    <s v="0.05 - 0.5"/>
    <s v="&lt;10"/>
    <x v="1"/>
    <s v="Other"/>
  </r>
  <r>
    <x v="133"/>
    <s v="FUN"/>
    <n v="1.261E-3"/>
    <n v="5.8999999999999999E-3"/>
    <n v="0.1014"/>
    <n v="7.6899999999999996E-2"/>
    <n v="13634000"/>
    <n v="4857191"/>
    <n v="10800000000"/>
    <n v="-2.2666666666666699E-3"/>
    <n v="1.1709536632927848E-3"/>
    <n v="1.4032940129089695E-3"/>
    <n v="1.2536037379461179E-3"/>
    <n v="7.3962620538820748E-6"/>
    <s v="0 - 0.05"/>
    <s v="&lt;10"/>
    <x v="1"/>
    <s v="Other"/>
  </r>
  <r>
    <x v="134"/>
    <s v="ATA"/>
    <n v="1.155E-2"/>
    <n v="7.1000000000000004E-3"/>
    <n v="1.0999999999999999E-2"/>
    <n v="5.96E-2"/>
    <n v="10933791"/>
    <n v="744515"/>
    <n v="946590000"/>
    <n v="2.3300000000000001E-2"/>
    <n v="1.0900339750849376E-2"/>
    <n v="1.1678463094034378E-2"/>
    <n v="1.1468573130771521E-2"/>
    <n v="8.1426869228478152E-5"/>
    <s v="0 - 0.05"/>
    <s v="&lt;10"/>
    <x v="1"/>
    <s v="Selected"/>
  </r>
  <r>
    <x v="135"/>
    <s v="IKA"/>
    <n v="3.627E-3"/>
    <n v="2.0999999999999999E-3"/>
    <n v="2.3099999999999999E-2"/>
    <n v="3.73E-2"/>
    <n v="10883235"/>
    <n v="918848"/>
    <n v="3000000000"/>
    <n v="6.8333333333333302E-3"/>
    <n v="3.4965776535235706E-3"/>
    <n v="3.7127648684614598E-3"/>
    <n v="3.6193992615507434E-3"/>
    <n v="7.6007384492565722E-6"/>
    <s v="0 - 0.05"/>
    <s v="&lt;10"/>
    <x v="1"/>
    <s v="Selected"/>
  </r>
  <r>
    <x v="136"/>
    <s v="BOUNTY"/>
    <n v="2.12E-2"/>
    <n v="2.0000000000000001E-4"/>
    <n v="1.18E-2"/>
    <n v="9.4000000000000004E-3"/>
    <n v="10881360"/>
    <n v="1083764"/>
    <n v="513039999.99999994"/>
    <n v="-5.9999999999999995E-4"/>
    <n v="2.1002575787596591E-2"/>
    <n v="2.1453147136207246E-2"/>
    <n v="2.1195760847830435E-2"/>
    <n v="4.2391521695647749E-6"/>
    <s v="0 - 0.05"/>
    <s v="&lt;10"/>
    <x v="1"/>
    <s v="Selected"/>
  </r>
  <r>
    <x v="137"/>
    <s v="GFI"/>
    <n v="0.12570000000000001"/>
    <n v="1.9E-3"/>
    <n v="7.0900000000000005E-2"/>
    <n v="0.01"/>
    <n v="10810374"/>
    <n v="196226"/>
    <n v="85940000"/>
    <n v="-1.84E-2"/>
    <n v="0.12445544554455445"/>
    <n v="0.13529221827575072"/>
    <n v="0.12546162291645874"/>
    <n v="2.3837708354126907E-4"/>
    <s v="0.05 - 0.5"/>
    <s v="&lt;10"/>
    <x v="1"/>
    <s v="Other"/>
  </r>
  <r>
    <x v="138"/>
    <s v="HMSTR"/>
    <n v="1.6780000000000001E-4"/>
    <n v="2.5999999999999999E-3"/>
    <n v="8.0999999999999996E-3"/>
    <n v="4.0899999999999999E-2"/>
    <n v="10803730"/>
    <n v="2826196"/>
    <n v="64370000000.000008"/>
    <n v="1.35333333333333E-2"/>
    <n v="1.6120664809299648E-4"/>
    <n v="1.691702792620224E-4"/>
    <n v="1.6736485138639539E-4"/>
    <n v="4.3514861360462263E-7"/>
    <s v="0 - 0.05"/>
    <s v="&lt;10"/>
    <x v="1"/>
    <s v="Other"/>
  </r>
  <r>
    <x v="139"/>
    <s v="PSG"/>
    <n v="0.74429999999999996"/>
    <n v="7.1999999999999998E-3"/>
    <n v="1.24E-2"/>
    <n v="4.58E-2"/>
    <n v="10766565"/>
    <n v="2904179"/>
    <n v="14460000"/>
    <n v="1.8333333333333299E-2"/>
    <n v="0.71170395869191039"/>
    <n v="0.75364520048602668"/>
    <n v="0.73897934868943593"/>
    <n v="5.3206513105640285E-3"/>
    <s v="0.5 - 5"/>
    <s v="&lt;10"/>
    <x v="1"/>
    <s v="Other"/>
  </r>
  <r>
    <x v="140"/>
    <s v="PAPARAZZI"/>
    <n v="1.5499999999999999E-3"/>
    <n v="5.9999999999999995E-4"/>
    <n v="6.1999999999999998E-3"/>
    <n v="3.5400000000000001E-2"/>
    <n v="10764308"/>
    <n v="238007"/>
    <n v="6940000000"/>
    <n v="1.03333333333333E-2"/>
    <n v="1.497005988023952E-3"/>
    <n v="1.5596699537130207E-3"/>
    <n v="1.5490705576654009E-3"/>
    <n v="9.2944233459906107E-7"/>
    <s v="0 - 0.05"/>
    <s v="&lt;10"/>
    <x v="1"/>
    <s v="Other"/>
  </r>
  <r>
    <x v="141"/>
    <s v="KLV"/>
    <n v="1.2099999999999999E-3"/>
    <n v="8.6E-3"/>
    <n v="8.6E-3"/>
    <n v="1.5100000000000001E-2"/>
    <n v="10745971"/>
    <n v="301025"/>
    <n v="8880000000"/>
    <n v="1.07666666666667E-2"/>
    <n v="1.1920007880996946E-3"/>
    <n v="1.2204962679039741E-3"/>
    <n v="1.1996827285346023E-3"/>
    <n v="1.0317271465397609E-5"/>
    <s v="0 - 0.05"/>
    <s v="&lt;10"/>
    <x v="1"/>
    <s v="Other"/>
  </r>
  <r>
    <x v="142"/>
    <s v="AOP"/>
    <n v="3.0419999999999999E-2"/>
    <n v="0"/>
    <n v="4.7999999999999996E-3"/>
    <n v="4.7899999999999998E-2"/>
    <n v="10649702"/>
    <n v="1139607"/>
    <n v="349990000"/>
    <n v="1.4366666666666699E-2"/>
    <n v="2.9029487546521612E-2"/>
    <n v="3.0566720257234725E-2"/>
    <n v="3.0419999999999999E-2"/>
    <n v="0"/>
    <s v="0 - 0.05"/>
    <s v="&lt;10"/>
    <x v="1"/>
    <s v="Selected"/>
  </r>
  <r>
    <x v="143"/>
    <s v="TLM"/>
    <n v="1.6329999999999999E-3"/>
    <n v="2.9999999999999997E-4"/>
    <n v="2.5499999999999998E-2"/>
    <n v="5.7999999999999996E-3"/>
    <n v="10616425"/>
    <n v="4200231"/>
    <n v="6490000000"/>
    <n v="-6.2666666666666704E-3"/>
    <n v="1.6235832173394312E-3"/>
    <n v="1.6757311441765006E-3"/>
    <n v="1.6325102469259222E-3"/>
    <n v="4.8975307407770827E-7"/>
    <s v="0 - 0.05"/>
    <s v="&lt;10"/>
    <x v="1"/>
    <s v="Selected"/>
  </r>
  <r>
    <x v="144"/>
    <s v="ITOTon"/>
    <n v="153.25"/>
    <n v="0"/>
    <n v="1.4999999999999999E-2"/>
    <n v="1.5900000000000001E-2"/>
    <n v="10558503"/>
    <n v="421"/>
    <n v="68890"/>
    <n v="2.9999999999999997E-4"/>
    <n v="150.85146175804704"/>
    <n v="155.58375634517768"/>
    <n v="153.25"/>
    <n v="0"/>
    <s v="&gt;50"/>
    <s v="&gt;=10"/>
    <x v="0"/>
    <s v="Other"/>
  </r>
  <r>
    <x v="145"/>
    <s v="NIM"/>
    <n v="7.6190000000000003E-4"/>
    <n v="4.0000000000000001E-3"/>
    <n v="9.0899999999999995E-2"/>
    <n v="0.11899999999999999"/>
    <n v="10549348"/>
    <n v="100545"/>
    <n v="13840000000"/>
    <n v="1.33666666666667E-2"/>
    <n v="6.8087578194816806E-4"/>
    <n v="8.3808161918380814E-4"/>
    <n v="7.5886454183266938E-4"/>
    <n v="3.0354581673306541E-6"/>
    <s v="0 - 0.05"/>
    <s v="&lt;10"/>
    <x v="1"/>
    <s v="Other"/>
  </r>
  <r>
    <x v="146"/>
    <s v="HFT"/>
    <n v="1.4630000000000001E-2"/>
    <n v="5.7000000000000002E-3"/>
    <n v="3.5200000000000002E-2"/>
    <n v="0.14280000000000001"/>
    <n v="10541204"/>
    <n v="5209345"/>
    <n v="720420000"/>
    <n v="4.1566666666666703E-2"/>
    <n v="1.2801890094504725E-2"/>
    <n v="1.5163764510779438E-2"/>
    <n v="1.454708163468231E-2"/>
    <n v="8.2918365317690562E-5"/>
    <s v="0 - 0.05"/>
    <s v="&lt;10"/>
    <x v="1"/>
    <s v="Other"/>
  </r>
  <r>
    <x v="147"/>
    <s v="LUMIA"/>
    <n v="6.0819999999999999E-2"/>
    <n v="4.0000000000000001E-3"/>
    <n v="2.6499999999999999E-2"/>
    <n v="4.9700000000000001E-2"/>
    <n v="8567380"/>
    <n v="1843046"/>
    <n v="140840000"/>
    <n v="1.1733333333333301E-2"/>
    <n v="5.7940363913499091E-2"/>
    <n v="6.2475603492552642E-2"/>
    <n v="6.0577689243027887E-2"/>
    <n v="2.4231075697211252E-4"/>
    <s v="0.05 - 0.5"/>
    <s v="&lt;10"/>
    <x v="1"/>
    <s v="Other"/>
  </r>
  <r>
    <x v="148"/>
    <s v="A47"/>
    <n v="8.5640000000000004E-3"/>
    <n v="5.2699999999999997E-2"/>
    <n v="0.23119999999999999"/>
    <n v="0.92779999999999996"/>
    <n v="8564809"/>
    <n v="16521630"/>
    <n v="999990000"/>
    <n v="0.28489999999999999"/>
    <n v="4.4423695404087566E-3"/>
    <n v="1.1139438085327783E-2"/>
    <n v="8.1352712073715222E-3"/>
    <n v="4.2872879262847823E-4"/>
    <s v="0 - 0.05"/>
    <s v="&lt;10"/>
    <x v="1"/>
    <s v="Selected"/>
  </r>
  <r>
    <x v="149"/>
    <s v="MNSRY"/>
    <n v="9.5029999999999993E-3"/>
    <n v="8.0000000000000004E-4"/>
    <n v="3.56E-2"/>
    <n v="2.41E-2"/>
    <n v="8553353"/>
    <n v="436488"/>
    <n v="899980000"/>
    <n v="-3.0333333333333302E-3"/>
    <n v="9.2793672492920611E-3"/>
    <n v="9.8537951057652423E-3"/>
    <n v="9.4954036770583533E-3"/>
    <n v="7.596322941645986E-6"/>
    <s v="0 - 0.05"/>
    <s v="&lt;10"/>
    <x v="1"/>
    <s v="Other"/>
  </r>
  <r>
    <x v="150"/>
    <s v="AMO"/>
    <n v="4.015E-4"/>
    <n v="1.2500000000000001E-2"/>
    <n v="1.7000000000000001E-2"/>
    <n v="3.5000000000000003E-2"/>
    <n v="8513431"/>
    <n v="30332"/>
    <n v="21200000000"/>
    <n v="1.8499999999999999E-2"/>
    <n v="3.8792270531400969E-4"/>
    <n v="4.0844354018311295E-4"/>
    <n v="3.9654320987654324E-4"/>
    <n v="4.9567901234567587E-6"/>
    <s v="0 - 0.05"/>
    <s v="&lt;10"/>
    <x v="1"/>
    <s v="Selected"/>
  </r>
  <r>
    <x v="151"/>
    <s v="SIGMA"/>
    <n v="5.8549999999999998E-2"/>
    <n v="1E-4"/>
    <n v="0.184"/>
    <n v="0.31509999999999999"/>
    <n v="8490542"/>
    <n v="552419"/>
    <n v="145000000"/>
    <n v="4.3799999999999999E-2"/>
    <n v="4.4521329176488482E-2"/>
    <n v="7.1752450980392152E-2"/>
    <n v="5.8544145585441451E-2"/>
    <n v="5.8544145585467944E-6"/>
    <s v="0.05 - 0.5"/>
    <s v="&lt;10"/>
    <x v="1"/>
    <s v="Other"/>
  </r>
  <r>
    <x v="152"/>
    <s v="METFI"/>
    <n v="3.0099999999999998E-2"/>
    <n v="3.8E-3"/>
    <n v="2.98E-2"/>
    <n v="0.1406"/>
    <n v="8468294"/>
    <n v="27509"/>
    <n v="281300000"/>
    <n v="4.0733333333333302E-2"/>
    <n v="2.6389619498509553E-2"/>
    <n v="3.1024531024531024E-2"/>
    <n v="2.9986052998605298E-2"/>
    <n v="1.1394700139469999E-4"/>
    <s v="0 - 0.05"/>
    <s v="&lt;10"/>
    <x v="1"/>
    <s v="Other"/>
  </r>
  <r>
    <x v="153"/>
    <s v="ASP"/>
    <n v="2.8219999999999999E-2"/>
    <n v="2.8E-3"/>
    <n v="1.6299999999999999E-2"/>
    <n v="4.0899999999999999E-2"/>
    <n v="8423430"/>
    <n v="1240646"/>
    <n v="298480000"/>
    <n v="1.0999999999999999E-2"/>
    <n v="2.7111153809203575E-2"/>
    <n v="2.8687608010572328E-2"/>
    <n v="2.8141204627044277E-2"/>
    <n v="7.8795372955721421E-5"/>
    <s v="0 - 0.05"/>
    <s v="&lt;10"/>
    <x v="1"/>
    <s v="Selected"/>
  </r>
  <r>
    <x v="154"/>
    <s v="POR"/>
    <n v="0.78669999999999995"/>
    <n v="2.3E-3"/>
    <n v="2.35E-2"/>
    <n v="9.1999999999999998E-3"/>
    <n v="8370576"/>
    <n v="336678"/>
    <n v="10630000"/>
    <n v="-2.46666666666667E-3"/>
    <n v="0.77952833927863641"/>
    <n v="0.80563236047107012"/>
    <n v="0.78489474209318566"/>
    <n v="1.8052579068142949E-3"/>
    <s v="0.5 - 5"/>
    <s v="&lt;10"/>
    <x v="1"/>
    <s v="Other"/>
  </r>
  <r>
    <x v="155"/>
    <s v="ZRC"/>
    <n v="1.7930000000000001E-3"/>
    <n v="2.2000000000000001E-3"/>
    <n v="1.1900000000000001E-2"/>
    <n v="4.9399999999999999E-2"/>
    <n v="8340700"/>
    <n v="8463940"/>
    <n v="4640000000"/>
    <n v="1.47E-2"/>
    <n v="1.7085953878406711E-3"/>
    <n v="1.8145936646088454E-3"/>
    <n v="1.7890640590700461E-3"/>
    <n v="3.9359409299540103E-6"/>
    <s v="0 - 0.05"/>
    <s v="&lt;10"/>
    <x v="1"/>
    <s v="Other"/>
  </r>
  <r>
    <x v="156"/>
    <s v="XMW"/>
    <n v="1.0030000000000001E-2"/>
    <n v="2.3999999999999998E-3"/>
    <n v="0.21529999999999999"/>
    <n v="0.16370000000000001"/>
    <n v="8262269"/>
    <n v="197592"/>
    <n v="823700000"/>
    <n v="-1.4800000000000001E-2"/>
    <n v="8.6190598951619846E-3"/>
    <n v="1.2781954887218047E-2"/>
    <n v="1.0005985634477256E-2"/>
    <n v="2.4014365522745038E-5"/>
    <s v="0 - 0.05"/>
    <s v="&lt;10"/>
    <x v="1"/>
    <s v="Other"/>
  </r>
  <r>
    <x v="157"/>
    <s v="GMRT"/>
    <n v="2.5219999999999999E-2"/>
    <n v="0.01"/>
    <n v="3.5425"/>
    <n v="7.0964"/>
    <n v="8255447"/>
    <n v="11295"/>
    <n v="327290000"/>
    <n v="1.1946333333333301"/>
    <n v="3.1149646756583175E-3"/>
    <n v="-9.9193706981317593E-3"/>
    <n v="2.4970297029702968E-2"/>
    <n v="2.4970297029703117E-4"/>
    <s v="0 - 0.05"/>
    <s v="&lt;10"/>
    <x v="1"/>
    <s v="Other"/>
  </r>
  <r>
    <x v="158"/>
    <s v="4"/>
    <n v="8.1670000000000006E-3"/>
    <n v="1.24E-2"/>
    <n v="4.1399999999999999E-2"/>
    <n v="9.2499999999999999E-2"/>
    <n v="8167934"/>
    <n v="2920424"/>
    <n v="1000000000"/>
    <n v="2.9433333333333301E-2"/>
    <n v="7.4755148741418769E-3"/>
    <n v="8.5197162528687677E-3"/>
    <n v="8.066969577242197E-3"/>
    <n v="1.0003042275780367E-4"/>
    <s v="0 - 0.05"/>
    <s v="&lt;10"/>
    <x v="1"/>
    <s v="Other"/>
  </r>
  <r>
    <x v="159"/>
    <s v="FARTBOY"/>
    <n v="8.1740000000000007E-3"/>
    <n v="1.2999999999999999E-3"/>
    <n v="4.0000000000000001E-3"/>
    <n v="2.5999999999999999E-3"/>
    <n v="8169907"/>
    <n v="625712"/>
    <n v="999440000"/>
    <n v="8.3333333333333295E-4"/>
    <n v="8.1528027129463415E-3"/>
    <n v="8.2068273092369484E-3"/>
    <n v="8.1633875961250376E-3"/>
    <n v="1.0612403874963108E-5"/>
    <s v="0 - 0.05"/>
    <s v="&lt;10"/>
    <x v="1"/>
    <s v="Other"/>
  </r>
  <r>
    <x v="160"/>
    <s v="LQ"/>
    <n v="0.4047"/>
    <n v="2.7000000000000001E-3"/>
    <n v="1.7500000000000002E-2"/>
    <n v="8.1799999999999998E-2"/>
    <n v="8152005"/>
    <n v="187733"/>
    <n v="20140000"/>
    <n v="2.4133333333333298E-2"/>
    <n v="0.37409872434830832"/>
    <n v="0.41190839694656489"/>
    <n v="0.40361025231873943"/>
    <n v="1.0897476812605777E-3"/>
    <s v="0.05 - 0.5"/>
    <s v="&lt;10"/>
    <x v="1"/>
    <s v="Other"/>
  </r>
  <r>
    <x v="161"/>
    <s v="BTG"/>
    <n v="3.57"/>
    <n v="1.5E-3"/>
    <n v="3.0800000000000001E-2"/>
    <n v="1.01E-2"/>
    <n v="6792959"/>
    <n v="1016273"/>
    <n v="1900000"/>
    <n v="-5.4000000000000003E-3"/>
    <n v="3.5343035343035343"/>
    <n v="3.6834502682624843"/>
    <n v="3.5646530204692959"/>
    <n v="5.3469795307039547E-3"/>
    <s v="0.5 - 5"/>
    <s v="&lt;10"/>
    <x v="1"/>
    <s v="Selected"/>
  </r>
  <r>
    <x v="162"/>
    <s v="HOPR"/>
    <n v="1.9789999999999999E-2"/>
    <n v="8.9999999999999998E-4"/>
    <n v="3.1300000000000001E-2"/>
    <n v="3.1099999999999999E-2"/>
    <n v="6752114"/>
    <n v="179392"/>
    <n v="341170000"/>
    <n v="8.3333333333333198E-4"/>
    <n v="1.919309475317622E-2"/>
    <n v="2.0429441519562299E-2"/>
    <n v="1.9772205015486061E-2"/>
    <n v="1.7794984513937184E-5"/>
    <s v="0 - 0.05"/>
    <s v="&lt;10"/>
    <x v="1"/>
    <s v="Other"/>
  </r>
  <r>
    <x v="163"/>
    <s v="XEM"/>
    <n v="7.5009999999999996E-4"/>
    <n v="5.9999999999999995E-4"/>
    <n v="4.9099999999999998E-2"/>
    <n v="5.0999999999999997E-2"/>
    <n v="6751392"/>
    <n v="1320118"/>
    <n v="8990000000"/>
    <n v="1.23333333333333E-3"/>
    <n v="7.137012369172217E-4"/>
    <n v="7.8883163318960983E-4"/>
    <n v="7.4965020987407562E-4"/>
    <n v="4.4979012592434586E-7"/>
    <s v="0 - 0.05"/>
    <s v="&lt;10"/>
    <x v="1"/>
    <s v="Other"/>
  </r>
  <r>
    <x v="164"/>
    <s v="DEGO"/>
    <n v="0.32069999999999999"/>
    <n v="2E-3"/>
    <n v="2.8E-3"/>
    <n v="8.14E-2"/>
    <n v="6735803"/>
    <n v="1461325"/>
    <n v="20990000"/>
    <n v="2.8199999999999999E-2"/>
    <n v="0.29656001479563532"/>
    <n v="0.32160048134777375"/>
    <n v="0.32005988023952092"/>
    <n v="6.4011976047906316E-4"/>
    <s v="0.05 - 0.5"/>
    <s v="&lt;10"/>
    <x v="1"/>
    <s v="Selected"/>
  </r>
  <r>
    <x v="165"/>
    <s v="HOOK"/>
    <n v="2.3630000000000002E-2"/>
    <n v="4.7000000000000002E-3"/>
    <n v="3.1E-2"/>
    <n v="3.5200000000000002E-2"/>
    <n v="6703522"/>
    <n v="2668330"/>
    <n v="283580000"/>
    <n v="6.1000000000000004E-3"/>
    <n v="2.2826506955177746E-2"/>
    <n v="2.4385964912280705E-2"/>
    <n v="2.3519458544839261E-2"/>
    <n v="1.1054145516074115E-4"/>
    <s v="0 - 0.05"/>
    <s v="&lt;10"/>
    <x v="1"/>
    <s v="Other"/>
  </r>
  <r>
    <x v="166"/>
    <s v="LADYS"/>
    <n v="8.9084999999999998E-2"/>
    <n v="3.7000000000000002E-3"/>
    <n v="0.1361"/>
    <n v="0.1038"/>
    <n v="6671786"/>
    <n v="1690539"/>
    <n v="734360000000000"/>
    <n v="-7.0666666666666603E-3"/>
    <n v="8.0707555716615323E-2"/>
    <n v="0.10311957402477138"/>
    <n v="8.8756600577861902E-2"/>
    <n v="3.2839942213809536E-4"/>
    <s v="0.05 - 0.5"/>
    <s v="&lt;10"/>
    <x v="1"/>
    <s v="Other"/>
  </r>
  <r>
    <x v="167"/>
    <s v="OBT"/>
    <n v="1.281E-3"/>
    <n v="1.6000000000000001E-3"/>
    <n v="4.3200000000000002E-2"/>
    <n v="1.8100000000000002E-2"/>
    <n v="6661357"/>
    <n v="2897840"/>
    <n v="5200000000"/>
    <n v="-6.76666666666667E-3"/>
    <n v="1.2582261074550634E-3"/>
    <n v="1.3388377926421406E-3"/>
    <n v="1.2789536741214056E-3"/>
    <n v="2.0463258785944141E-6"/>
    <s v="0 - 0.05"/>
    <s v="&lt;10"/>
    <x v="1"/>
    <s v="Selected"/>
  </r>
  <r>
    <x v="168"/>
    <s v="WE"/>
    <n v="1.8370000000000001E-2"/>
    <n v="2.0999999999999999E-3"/>
    <n v="4.41E-2"/>
    <n v="1.72E-2"/>
    <n v="6651545"/>
    <n v="26096"/>
    <n v="362030000"/>
    <n v="-6.8666666666666702E-3"/>
    <n v="1.8059378686590639E-2"/>
    <n v="1.9217491369390105E-2"/>
    <n v="1.8331503841931943E-2"/>
    <n v="3.8496158068057618E-5"/>
    <s v="0 - 0.05"/>
    <s v="&lt;10"/>
    <x v="1"/>
    <s v="Other"/>
  </r>
  <r>
    <x v="169"/>
    <s v="IDEX"/>
    <n v="6.6299999999999996E-3"/>
    <n v="1.9E-3"/>
    <n v="1.9699999999999999E-2"/>
    <n v="1.66E-2"/>
    <n v="6630860"/>
    <n v="1970302"/>
    <n v="1000000000"/>
    <n v="8.6666666666666695E-4"/>
    <n v="6.5217391304347823E-3"/>
    <n v="6.7632357441599509E-3"/>
    <n v="6.6174268889110689E-3"/>
    <n v="1.2573111088930687E-5"/>
    <s v="0 - 0.05"/>
    <s v="&lt;10"/>
    <x v="1"/>
    <s v="Selected"/>
  </r>
  <r>
    <x v="170"/>
    <s v="SUNDOG"/>
    <n v="6.6420000000000003E-3"/>
    <n v="2.3E-3"/>
    <n v="1.4E-2"/>
    <n v="8.0000000000000004E-4"/>
    <n v="6625739"/>
    <n v="4189943"/>
    <n v="997420000"/>
    <n v="-2.0999999999999999E-3"/>
    <n v="6.6366906474820157E-3"/>
    <n v="6.736308316430021E-3"/>
    <n v="6.6267584555522304E-3"/>
    <n v="1.5241544447769893E-5"/>
    <s v="0 - 0.05"/>
    <s v="&lt;10"/>
    <x v="1"/>
    <s v="Other"/>
  </r>
  <r>
    <x v="171"/>
    <s v="GST"/>
    <n v="1.555E-3"/>
    <n v="4.0000000000000002E-4"/>
    <n v="4.6899999999999997E-2"/>
    <n v="7.0000000000000001E-3"/>
    <n v="6622116"/>
    <n v="98061"/>
    <n v="4250000000"/>
    <n v="-1.29E-2"/>
    <n v="1.5441906653426019E-3"/>
    <n v="1.6315182037561641E-3"/>
    <n v="1.5543782487005197E-3"/>
    <n v="6.2175129948022212E-7"/>
    <s v="0 - 0.05"/>
    <s v="&lt;10"/>
    <x v="1"/>
    <s v="Other"/>
  </r>
  <r>
    <x v="172"/>
    <s v="SEND"/>
    <n v="0.1024"/>
    <n v="8.9999999999999998E-4"/>
    <n v="1.9599999999999999E-2"/>
    <n v="9.0200000000000002E-2"/>
    <n v="6610295"/>
    <n v="117926"/>
    <n v="64510000.000000007"/>
    <n v="2.44333333333333E-2"/>
    <n v="9.3927719684461564E-2"/>
    <n v="0.10444716442268462"/>
    <n v="0.10230792286941753"/>
    <n v="9.2077130582471356E-5"/>
    <s v="0.05 - 0.5"/>
    <s v="&lt;10"/>
    <x v="1"/>
    <s v="Other"/>
  </r>
  <r>
    <x v="173"/>
    <s v="INTER"/>
    <n v="0.56610000000000005"/>
    <n v="3.3999999999999998E-3"/>
    <n v="1.6E-2"/>
    <n v="5.6399999999999999E-2"/>
    <n v="6589175"/>
    <n v="4497515"/>
    <n v="11630000"/>
    <n v="1.68666666666667E-2"/>
    <n v="0.53587656190836808"/>
    <n v="0.5753048780487805"/>
    <n v="0.56418178194139923"/>
    <n v="1.918218058600818E-3"/>
    <s v="0.5 - 5"/>
    <s v="&lt;10"/>
    <x v="1"/>
    <s v="Selected"/>
  </r>
  <r>
    <x v="174"/>
    <s v="KONET"/>
    <n v="1.5270000000000001E-2"/>
    <n v="5.1000000000000004E-3"/>
    <n v="1.7999999999999999E-2"/>
    <n v="5.6899999999999999E-2"/>
    <n v="6575076"/>
    <n v="71180"/>
    <n v="430440000"/>
    <n v="1.80666666666667E-2"/>
    <n v="1.4447913709906331E-2"/>
    <n v="1.5549898167006112E-2"/>
    <n v="1.5192518157397273E-2"/>
    <n v="7.7481842602727946E-5"/>
    <s v="0 - 0.05"/>
    <s v="&lt;10"/>
    <x v="1"/>
    <s v="Other"/>
  </r>
  <r>
    <x v="175"/>
    <s v="SOIL"/>
    <n v="0.1007"/>
    <n v="1.2999999999999999E-3"/>
    <n v="5.4999999999999997E-3"/>
    <n v="2.87E-2"/>
    <n v="6554877"/>
    <n v="15829"/>
    <n v="65050000"/>
    <n v="9.0333333333333307E-3"/>
    <n v="9.7890541460095265E-2"/>
    <n v="0.10125691302161889"/>
    <n v="0.10056925996204932"/>
    <n v="1.3074003795067457E-4"/>
    <s v="0.05 - 0.5"/>
    <s v="&lt;10"/>
    <x v="1"/>
    <s v="Other"/>
  </r>
  <r>
    <x v="176"/>
    <s v="WALLET"/>
    <n v="7.737E-3"/>
    <n v="2.0000000000000001E-4"/>
    <n v="2.2599999999999999E-2"/>
    <n v="2.2599999999999999E-2"/>
    <n v="5323479"/>
    <n v="60314"/>
    <n v="688000000"/>
    <n v="2.0000000000000001E-4"/>
    <n v="7.5660082143555645E-3"/>
    <n v="7.9158993247391025E-3"/>
    <n v="7.7354529094181166E-3"/>
    <n v="1.5470905818833203E-6"/>
    <s v="0 - 0.05"/>
    <s v="&lt;10"/>
    <x v="1"/>
    <s v="Selected"/>
  </r>
  <r>
    <x v="177"/>
    <s v="ECHO"/>
    <n v="1.6740000000000001E-2"/>
    <n v="4.0000000000000001E-3"/>
    <n v="5.1999999999999998E-3"/>
    <n v="7.5899999999999995E-2"/>
    <n v="5321748"/>
    <n v="295258"/>
    <n v="317860000"/>
    <n v="2.7566666666666701E-2"/>
    <n v="1.5559066827772097E-2"/>
    <n v="1.6827503015681543E-2"/>
    <n v="1.6673306772908368E-2"/>
    <n v="6.6693227091633306E-5"/>
    <s v="0 - 0.05"/>
    <s v="&lt;10"/>
    <x v="1"/>
    <s v="Selected"/>
  </r>
  <r>
    <x v="178"/>
    <s v="SWEAT"/>
    <n v="6.981E-4"/>
    <n v="6.8999999999999999E-3"/>
    <n v="3.2500000000000001E-2"/>
    <n v="2.2499999999999999E-2"/>
    <n v="5293440"/>
    <n v="7067200"/>
    <n v="7580000000"/>
    <n v="3.5666666666666698E-3"/>
    <n v="6.8273838630806844E-4"/>
    <n v="7.2155038759689919E-4"/>
    <n v="6.9331611878041522E-4"/>
    <n v="4.783881219584782E-6"/>
    <s v="0 - 0.05"/>
    <s v="&lt;10"/>
    <x v="1"/>
    <s v="Other"/>
  </r>
  <r>
    <x v="179"/>
    <s v="USDV"/>
    <n v="0.30769999999999997"/>
    <n v="5.0000000000000001E-4"/>
    <n v="0.27739999999999998"/>
    <n v="0.11310000000000001"/>
    <n v="5275489"/>
    <n v="6"/>
    <n v="17140000"/>
    <n v="-5.4266666666666699E-2"/>
    <n v="0.27643518102596348"/>
    <n v="0.42582341544422914"/>
    <n v="0.3075462268865567"/>
    <n v="1.5377311344327849E-4"/>
    <s v="0.05 - 0.5"/>
    <s v="&lt;10"/>
    <x v="1"/>
    <s v="Other"/>
  </r>
  <r>
    <x v="180"/>
    <s v="VCHF"/>
    <n v="1.29"/>
    <n v="8.9999999999999998E-4"/>
    <n v="2.5999999999999999E-3"/>
    <n v="1.2999999999999999E-3"/>
    <n v="5265944"/>
    <n v="240384"/>
    <n v="4059999.9999999995"/>
    <n v="4.6666666666666699E-4"/>
    <n v="1.2883251772695494"/>
    <n v="1.2933627431321437"/>
    <n v="1.2888400439604357"/>
    <n v="1.1599560395643138E-3"/>
    <s v="0.5 - 5"/>
    <s v="&lt;10"/>
    <x v="1"/>
    <s v="Other"/>
  </r>
  <r>
    <x v="181"/>
    <s v="BOBO"/>
    <n v="7.7952999999999995E-2"/>
    <n v="4.1999999999999997E-3"/>
    <n v="5.5300000000000002E-2"/>
    <n v="1.84E-2"/>
    <n v="5260211"/>
    <n v="426256"/>
    <n v="66129999999999.992"/>
    <n v="-8.0999999999999996E-3"/>
    <n v="7.654457973291437E-2"/>
    <n v="8.2516142690801306E-2"/>
    <n v="7.7626966739693284E-2"/>
    <n v="3.2603326030671009E-4"/>
    <s v="0.05 - 0.5"/>
    <s v="&lt;10"/>
    <x v="1"/>
    <s v="Selected"/>
  </r>
  <r>
    <x v="182"/>
    <s v="VARA"/>
    <n v="1.0169999999999999E-3"/>
    <n v="5.4000000000000003E-3"/>
    <n v="2.0999999999999999E-3"/>
    <n v="7.2900000000000006E-2"/>
    <n v="5234195"/>
    <n v="58576"/>
    <n v="5140000000"/>
    <n v="2.9000000000000001E-2"/>
    <n v="9.4789821977817122E-4"/>
    <n v="1.0191401944082573E-3"/>
    <n v="1.011537696439228E-3"/>
    <n v="5.4623035607719202E-6"/>
    <s v="0 - 0.05"/>
    <s v="&lt;10"/>
    <x v="1"/>
    <s v="Other"/>
  </r>
  <r>
    <x v="183"/>
    <s v="BZZ"/>
    <n v="9.9390000000000006E-2"/>
    <n v="4.0000000000000002E-4"/>
    <n v="1.8700000000000001E-2"/>
    <n v="1.9800000000000002E-2"/>
    <n v="5228456"/>
    <n v="321308"/>
    <n v="52600000"/>
    <n v="7.6666666666666702E-4"/>
    <n v="9.7460286330653068E-2"/>
    <n v="0.10128401100580864"/>
    <n v="9.9350259896041598E-2"/>
    <n v="3.9740103958407769E-5"/>
    <s v="0.05 - 0.5"/>
    <s v="&lt;10"/>
    <x v="1"/>
    <s v="Other"/>
  </r>
  <r>
    <x v="184"/>
    <s v="OAS"/>
    <n v="8.1610000000000005E-4"/>
    <n v="5.0000000000000001E-3"/>
    <n v="1.2699999999999999E-2"/>
    <n v="3.4500000000000003E-2"/>
    <n v="5219890"/>
    <n v="414253"/>
    <n v="6390000000"/>
    <n v="1.22666666666667E-2"/>
    <n v="7.8888351860802327E-4"/>
    <n v="8.2659779195786494E-4"/>
    <n v="8.1203980099502505E-4"/>
    <n v="4.060199004975E-6"/>
    <s v="0 - 0.05"/>
    <s v="&lt;10"/>
    <x v="1"/>
    <s v="Selected"/>
  </r>
  <r>
    <x v="185"/>
    <s v="POLIS"/>
    <n v="1.575E-2"/>
    <n v="8.5000000000000006E-3"/>
    <n v="1.43E-2"/>
    <n v="7.1300000000000002E-2"/>
    <n v="5213015"/>
    <n v="120437"/>
    <n v="330910000"/>
    <n v="2.75E-2"/>
    <n v="1.4701764211705406E-2"/>
    <n v="1.5978492441919449E-2"/>
    <n v="1.561725334655429E-2"/>
    <n v="1.3274665344571029E-4"/>
    <s v="0 - 0.05"/>
    <s v="&lt;10"/>
    <x v="1"/>
    <s v="Other"/>
  </r>
  <r>
    <x v="186"/>
    <s v="D"/>
    <n v="7.0089999999999996E-3"/>
    <n v="2.52E-2"/>
    <n v="6.6699999999999995E-2"/>
    <n v="7.0900000000000005E-2"/>
    <n v="5211964"/>
    <n v="3384918"/>
    <n v="743510000"/>
    <n v="2.6599999999999999E-2"/>
    <n v="6.5449621813427955E-3"/>
    <n v="7.5099110682524369E-3"/>
    <n v="6.8367147873585644E-3"/>
    <n v="1.7228521264143516E-4"/>
    <s v="0 - 0.05"/>
    <s v="&lt;10"/>
    <x v="1"/>
    <s v="Selected"/>
  </r>
  <r>
    <x v="187"/>
    <s v="VK"/>
    <n v="4.7770000000000001E-4"/>
    <n v="6.4999999999999997E-3"/>
    <n v="1.6500000000000001E-2"/>
    <n v="5.3199999999999997E-2"/>
    <n v="5206650"/>
    <n v="1518"/>
    <n v="10890000000"/>
    <n v="1.87333333333333E-2"/>
    <n v="4.535700721610331E-4"/>
    <n v="4.8571428571428572E-4"/>
    <n v="4.7461500248385498E-4"/>
    <n v="3.084997516145029E-6"/>
    <s v="0 - 0.05"/>
    <s v="&lt;10"/>
    <x v="1"/>
    <s v="Other"/>
  </r>
  <r>
    <x v="188"/>
    <s v="ALU"/>
    <n v="5.2139999999999999E-3"/>
    <n v="6.3E-3"/>
    <n v="6.8599999999999994E-2"/>
    <n v="4.0599999999999997E-2"/>
    <n v="5161933"/>
    <n v="1414755"/>
    <n v="990000000"/>
    <n v="-3.0333333333333302E-3"/>
    <n v="5.0105708245243132E-3"/>
    <n v="5.598024479278505E-3"/>
    <n v="5.1813574480771146E-3"/>
    <n v="3.264255192288526E-5"/>
    <s v="0 - 0.05"/>
    <s v="&lt;10"/>
    <x v="1"/>
    <s v="Selected"/>
  </r>
  <r>
    <x v="189"/>
    <s v="KARRAT"/>
    <n v="6.4660000000000004E-3"/>
    <n v="2.0000000000000001E-4"/>
    <n v="7.7399999999999997E-2"/>
    <n v="0.3866"/>
    <n v="5139072"/>
    <n v="483800"/>
    <n v="794690000"/>
    <n v="0.10326666666666701"/>
    <n v="4.6632049617770085E-3"/>
    <n v="7.0084543680901806E-3"/>
    <n v="6.4647070585882828E-3"/>
    <n v="1.292941411717638E-6"/>
    <s v="0 - 0.05"/>
    <s v="&lt;10"/>
    <x v="1"/>
    <s v="Other"/>
  </r>
  <r>
    <x v="190"/>
    <s v="RION"/>
    <n v="0.21959999999999999"/>
    <n v="5.9999999999999995E-4"/>
    <n v="8.5699999999999998E-2"/>
    <n v="0.1575"/>
    <n v="4174057"/>
    <n v="308129"/>
    <n v="19000000"/>
    <n v="2.4533333333333299E-2"/>
    <n v="0.18971922246220302"/>
    <n v="0.2401837471289511"/>
    <n v="0.21946831900859484"/>
    <n v="1.3168099140514755E-4"/>
    <s v="0.05 - 0.5"/>
    <s v="&lt;10"/>
    <x v="1"/>
    <s v="Other"/>
  </r>
  <r>
    <x v="191"/>
    <s v="SKI"/>
    <n v="4.2040000000000003E-3"/>
    <n v="1.2999999999999999E-3"/>
    <n v="5.11E-2"/>
    <n v="1.49E-2"/>
    <n v="4159448"/>
    <n v="372961"/>
    <n v="989390000"/>
    <n v="-1.07666666666667E-2"/>
    <n v="4.1422800275889259E-3"/>
    <n v="4.4303930867320056E-3"/>
    <n v="4.1985418955358036E-3"/>
    <n v="5.4581044641966933E-6"/>
    <s v="0 - 0.05"/>
    <s v="&lt;10"/>
    <x v="1"/>
    <s v="Other"/>
  </r>
  <r>
    <x v="192"/>
    <s v="DGMA"/>
    <n v="5.0369999999999998E-2"/>
    <n v="8.0000000000000004E-4"/>
    <n v="1E-4"/>
    <n v="2.3999999999999998E-3"/>
    <n v="4140016"/>
    <n v="397548"/>
    <n v="82180000"/>
    <n v="1.56666666666667E-3"/>
    <n v="5.0249401436552273E-2"/>
    <n v="5.0375037503750372E-2"/>
    <n v="5.0329736211031179E-2"/>
    <n v="4.0263788968819547E-5"/>
    <s v="0.05 - 0.5"/>
    <s v="&lt;10"/>
    <x v="1"/>
    <s v="Selected"/>
  </r>
  <r>
    <x v="193"/>
    <s v="KAI"/>
    <n v="8.6629999999999997E-4"/>
    <n v="4.0000000000000001E-3"/>
    <n v="5.8200000000000002E-2"/>
    <n v="7.0999999999999994E-2"/>
    <n v="4136992"/>
    <n v="8380"/>
    <n v="4770000000"/>
    <n v="8.26666666666666E-3"/>
    <n v="8.0887021475256767E-4"/>
    <n v="9.1983435973667449E-4"/>
    <n v="8.6284860557768917E-4"/>
    <n v="3.4513944223108026E-6"/>
    <s v="0 - 0.05"/>
    <s v="&lt;10"/>
    <x v="1"/>
    <s v="Other"/>
  </r>
  <r>
    <x v="194"/>
    <s v="ETHDYDX"/>
    <n v="9.9080000000000001E-2"/>
    <n v="5.4999999999999997E-3"/>
    <n v="5.0900000000000001E-2"/>
    <n v="1.7100000000000001E-2"/>
    <n v="4127533"/>
    <n v="8823286"/>
    <n v="41650000"/>
    <n v="-5.7666666666666699E-3"/>
    <n v="9.7414216891161157E-2"/>
    <n v="0.10439363607628278"/>
    <n v="9.8538040775733457E-2"/>
    <n v="5.4195922426654441E-4"/>
    <s v="0.05 - 0.5"/>
    <s v="&lt;10"/>
    <x v="1"/>
    <s v="Other"/>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x v="0"/>
    <n v="140.76"/>
    <n v="8.9999999999999998E-4"/>
    <n v="5.0599999999999999E-2"/>
    <n v="2.2800000000000001E-2"/>
    <n v="13574565"/>
    <n v="3353947"/>
    <n v="96430"/>
    <n v="-8.3666666666666594E-3"/>
    <n v="137.6222135314822"/>
    <n v="148.26206024857802"/>
    <n v="140.63342991307823"/>
    <n v="0.12657008692175964"/>
    <x v="0"/>
    <x v="0"/>
    <x v="0"/>
    <x v="0"/>
  </r>
  <r>
    <x v="1"/>
    <x v="1"/>
    <n v="68106.12"/>
    <n v="2.9999999999999997E-4"/>
    <n v="4.24E-2"/>
    <n v="1.8599999999999998E-2"/>
    <n v="1360805946728"/>
    <n v="55110655820"/>
    <n v="19990000"/>
    <n v="-7.6333333333333296E-3"/>
    <n v="66862.477910858041"/>
    <n v="71121.679197994978"/>
    <n v="68085.694291712483"/>
    <n v="20.425708287511952"/>
    <x v="0"/>
    <x v="0"/>
    <x v="0"/>
    <x v="0"/>
  </r>
  <r>
    <x v="2"/>
    <x v="2"/>
    <n v="2049.58"/>
    <n v="6.0000000000000001E-3"/>
    <n v="7.8200000000000006E-2"/>
    <n v="4.1300000000000003E-2"/>
    <n v="247415190680"/>
    <n v="31027611819"/>
    <n v="120690000"/>
    <n v="-6.3E-3"/>
    <n v="1968.2896379525589"/>
    <n v="2223.4541115209372"/>
    <n v="2037.3558648111332"/>
    <n v="12.22413518886674"/>
    <x v="0"/>
    <x v="0"/>
    <x v="0"/>
    <x v="0"/>
  </r>
  <r>
    <x v="3"/>
    <x v="3"/>
    <n v="1"/>
    <n v="2.9999999999999997E-4"/>
    <n v="4.0000000000000002E-4"/>
    <n v="8.9999999999999998E-4"/>
    <n v="183724100800"/>
    <n v="110724997343"/>
    <n v="183620000000"/>
    <n v="4.6666666666666699E-4"/>
    <n v="0.99910080927165557"/>
    <n v="1.0004001600640255"/>
    <n v="0.99970008997300808"/>
    <n v="2.9991002699192304E-4"/>
    <x v="1"/>
    <x v="1"/>
    <x v="1"/>
    <x v="1"/>
  </r>
  <r>
    <x v="4"/>
    <x v="4"/>
    <n v="1.43"/>
    <n v="8.0000000000000004E-4"/>
    <n v="5.3999999999999999E-2"/>
    <n v="1.55E-2"/>
    <n v="87861851726"/>
    <n v="4421248180"/>
    <n v="61010000000"/>
    <n v="-1.20333333333333E-2"/>
    <n v="1.4081733136386014"/>
    <n v="1.5116279069767442"/>
    <n v="1.4288569144684253"/>
    <n v="1.1430855315746058E-3"/>
    <x v="1"/>
    <x v="1"/>
    <x v="1"/>
    <x v="1"/>
  </r>
  <r>
    <x v="5"/>
    <x v="5"/>
    <n v="627.83000000000004"/>
    <n v="2.0000000000000001E-4"/>
    <n v="4.8800000000000003E-2"/>
    <n v="3.5200000000000002E-2"/>
    <n v="85612918351"/>
    <n v="2701737108"/>
    <n v="136350000"/>
    <n v="-4.3333333333333297E-3"/>
    <n v="606.48183925811452"/>
    <n v="660.03994953742642"/>
    <n v="627.70445910817841"/>
    <n v="0.12554089182162897"/>
    <x v="0"/>
    <x v="0"/>
    <x v="0"/>
    <x v="0"/>
  </r>
  <r>
    <x v="6"/>
    <x v="6"/>
    <n v="0.99990000000000001"/>
    <n v="1E-4"/>
    <n v="0"/>
    <n v="0"/>
    <n v="75395300759"/>
    <n v="15183054533"/>
    <n v="75390000000"/>
    <n v="1E-4"/>
    <n v="0.99990000000000001"/>
    <n v="0.99990000000000001"/>
    <n v="0.99980001999800017"/>
    <n v="9.9980001999844248E-5"/>
    <x v="1"/>
    <x v="1"/>
    <x v="1"/>
    <x v="0"/>
  </r>
  <r>
    <x v="7"/>
    <x v="7"/>
    <n v="87.62"/>
    <n v="1E-3"/>
    <n v="6.3600000000000004E-2"/>
    <n v="7.1800000000000003E-2"/>
    <n v="49837071658"/>
    <n v="5785658485"/>
    <n v="568750000"/>
    <n v="3.7333333333333298E-3"/>
    <n v="81.750326553461463"/>
    <n v="93.571123451516456"/>
    <n v="87.53246753246755"/>
    <n v="8.7532467532454916E-2"/>
    <x v="0"/>
    <x v="0"/>
    <x v="0"/>
    <x v="1"/>
  </r>
  <r>
    <x v="8"/>
    <x v="8"/>
    <n v="0.28639999999999999"/>
    <n v="1.1000000000000001E-3"/>
    <n v="1.4E-3"/>
    <n v="2.4899999999999999E-2"/>
    <n v="27139431961"/>
    <n v="581889677"/>
    <n v="94730000000"/>
    <n v="8.9333333333333296E-3"/>
    <n v="0.27944189677041664"/>
    <n v="0.28680152213098337"/>
    <n v="0.28608530616322042"/>
    <n v="3.1469383677956708E-4"/>
    <x v="2"/>
    <x v="1"/>
    <x v="1"/>
    <x v="1"/>
  </r>
  <r>
    <x v="9"/>
    <x v="9"/>
    <n v="9.9959999999999993E-2"/>
    <n v="2.9999999999999997E-4"/>
    <n v="7.4499999999999997E-2"/>
    <n v="2.5100000000000001E-2"/>
    <n v="16883804678"/>
    <n v="1815598681"/>
    <n v="168890000000"/>
    <n v="-1.6166666666666701E-2"/>
    <n v="9.7512437810945277E-2"/>
    <n v="0.10800648298217179"/>
    <n v="9.9930020993701893E-2"/>
    <n v="2.9979006298100352E-5"/>
    <x v="2"/>
    <x v="1"/>
    <x v="1"/>
    <x v="0"/>
  </r>
  <r>
    <x v="10"/>
    <x v="10"/>
    <n v="0.29409999999999997"/>
    <n v="2.3E-3"/>
    <n v="0.1018"/>
    <n v="7.2499999999999995E-2"/>
    <n v="10610886354"/>
    <n v="1152105381"/>
    <n v="36070000000"/>
    <n v="-7.4666666666666701E-3"/>
    <n v="0.27421911421911421"/>
    <n v="0.32743264306390557"/>
    <n v="0.29342512221889649"/>
    <n v="6.7487778110347785E-4"/>
    <x v="2"/>
    <x v="1"/>
    <x v="1"/>
    <x v="0"/>
  </r>
  <r>
    <x v="11"/>
    <x v="11"/>
    <n v="501.72"/>
    <n v="2.0000000000000001E-4"/>
    <n v="2.1299999999999999E-2"/>
    <n v="9.8900000000000002E-2"/>
    <n v="10034569282"/>
    <n v="523884913"/>
    <n v="20000000"/>
    <n v="2.60666666666667E-2"/>
    <n v="456.56565656565658"/>
    <n v="512.63921528558296"/>
    <n v="501.61967606478709"/>
    <n v="0.10032393521294125"/>
    <x v="0"/>
    <x v="0"/>
    <x v="0"/>
    <x v="0"/>
  </r>
  <r>
    <x v="12"/>
    <x v="12"/>
    <n v="8.7899999999999991"/>
    <n v="5.9999999999999995E-4"/>
    <n v="9.1999999999999998E-3"/>
    <n v="1.6299999999999999E-2"/>
    <n v="8104381104"/>
    <n v="1307623"/>
    <n v="921280000"/>
    <n v="2.96666666666667E-3"/>
    <n v="8.649020958378431"/>
    <n v="8.8716188938231717"/>
    <n v="8.784729162502499"/>
    <n v="5.2708374975001249E-3"/>
    <x v="3"/>
    <x v="1"/>
    <x v="1"/>
    <x v="0"/>
  </r>
  <r>
    <x v="13"/>
    <x v="13"/>
    <n v="28.21"/>
    <n v="7.7999999999999996E-3"/>
    <n v="4.6399999999999997E-2"/>
    <n v="2.63E-2"/>
    <n v="7294386483"/>
    <n v="350216993"/>
    <n v="258490000"/>
    <n v="1.1000000000000001E-3"/>
    <n v="27.487089544967361"/>
    <n v="29.582634228187921"/>
    <n v="27.991665012899386"/>
    <n v="0.21833498710061505"/>
    <x v="3"/>
    <x v="0"/>
    <x v="1"/>
    <x v="1"/>
  </r>
  <r>
    <x v="14"/>
    <x v="14"/>
    <n v="0.17469999999999999"/>
    <n v="1.4E-3"/>
    <n v="8.2900000000000001E-2"/>
    <n v="8.5400000000000004E-2"/>
    <n v="6610489368"/>
    <n v="21576106"/>
    <n v="37820000000"/>
    <n v="2.2333333333333298E-3"/>
    <n v="0.16095448682513361"/>
    <n v="0.19049176752807762"/>
    <n v="0.17445576193329337"/>
    <n v="2.4423806670662018E-4"/>
    <x v="2"/>
    <x v="1"/>
    <x v="1"/>
    <x v="0"/>
  </r>
  <r>
    <x v="15"/>
    <x v="15"/>
    <n v="0.1356"/>
    <n v="4.7000000000000002E-3"/>
    <n v="1.6999999999999999E-3"/>
    <n v="0.16"/>
    <n v="341297819"/>
    <n v="63602498"/>
    <n v="2510000000"/>
    <n v="5.7466666666666701E-2"/>
    <n v="0.11689655172413793"/>
    <n v="0.13583091255133728"/>
    <n v="0.13496566139146016"/>
    <n v="6.343386085398417E-4"/>
    <x v="2"/>
    <x v="1"/>
    <x v="1"/>
    <x v="1"/>
  </r>
  <r>
    <x v="16"/>
    <x v="16"/>
    <n v="0.17080000000000001"/>
    <n v="2.8E-3"/>
    <n v="0.04"/>
    <n v="7.2400000000000006E-2"/>
    <n v="339872692"/>
    <n v="26642835"/>
    <n v="1980000000"/>
    <n v="1.3599999999999999E-2"/>
    <n v="0.15926892950391644"/>
    <n v="0.17791666666666667"/>
    <n v="0.17032309533306744"/>
    <n v="4.7690466693256495E-4"/>
    <x v="2"/>
    <x v="1"/>
    <x v="1"/>
    <x v="0"/>
  </r>
  <r>
    <x v="17"/>
    <x v="17"/>
    <n v="6.3391000000000003E-2"/>
    <n v="4.1999999999999997E-3"/>
    <n v="2.5899999999999999E-2"/>
    <n v="3.2000000000000002E-3"/>
    <n v="334749920"/>
    <n v="8592532"/>
    <n v="987030000000000"/>
    <n v="-3.3666666666666701E-3"/>
    <n v="6.318879585326953E-2"/>
    <n v="6.5076480854121765E-2"/>
    <n v="6.3125871340370454E-2"/>
    <n v="2.6512865962954879E-4"/>
    <x v="2"/>
    <x v="1"/>
    <x v="1"/>
    <x v="0"/>
  </r>
  <r>
    <x v="18"/>
    <x v="18"/>
    <n v="6.3346E-2"/>
    <n v="8.0000000000000004E-4"/>
    <n v="5.1000000000000004E-3"/>
    <n v="2.75E-2"/>
    <n v="331302147"/>
    <n v="12609835"/>
    <n v="990100000000000"/>
    <n v="8.2666666666666704E-3"/>
    <n v="6.1650608272506076E-2"/>
    <n v="6.367072067544477E-2"/>
    <n v="6.3295363709032784E-2"/>
    <n v="5.0636290967215336E-5"/>
    <x v="2"/>
    <x v="1"/>
    <x v="1"/>
    <x v="0"/>
  </r>
  <r>
    <x v="19"/>
    <x v="19"/>
    <n v="16.36"/>
    <n v="3.3999999999999998E-3"/>
    <n v="2.5399999999999999E-2"/>
    <n v="4.3E-3"/>
    <n v="327163655"/>
    <n v="16123513"/>
    <n v="19990000"/>
    <n v="-3.63333333333333E-3"/>
    <n v="16.289953201234692"/>
    <n v="16.786373896983378"/>
    <n v="16.304564480765396"/>
    <n v="5.5435519234602992E-2"/>
    <x v="3"/>
    <x v="0"/>
    <x v="1"/>
    <x v="0"/>
  </r>
  <r>
    <x v="20"/>
    <x v="20"/>
    <n v="3.22"/>
    <n v="2.3999999999999998E-3"/>
    <n v="1.6E-2"/>
    <n v="6.7999999999999996E-3"/>
    <n v="322213239"/>
    <n v="73524284"/>
    <n v="99970000"/>
    <n v="-6.6666666666666697E-4"/>
    <n v="3.1982518871672632"/>
    <n v="3.2723577235772359"/>
    <n v="3.2122905027932962"/>
    <n v="7.7094972067039969E-3"/>
    <x v="1"/>
    <x v="1"/>
    <x v="1"/>
    <x v="0"/>
  </r>
  <r>
    <x v="21"/>
    <x v="21"/>
    <n v="1.6240000000000001E-2"/>
    <n v="1.5E-3"/>
    <n v="1.49E-2"/>
    <n v="5.4199999999999998E-2"/>
    <n v="312185854"/>
    <n v="29525336"/>
    <n v="19210000000"/>
    <n v="1.46E-2"/>
    <n v="1.5405046480743692E-2"/>
    <n v="1.6485635976043043E-2"/>
    <n v="1.6215676485272092E-2"/>
    <n v="2.4323514727909307E-5"/>
    <x v="4"/>
    <x v="1"/>
    <x v="1"/>
    <x v="1"/>
  </r>
  <r>
    <x v="22"/>
    <x v="22"/>
    <n v="0.32829999999999998"/>
    <n v="8.6E-3"/>
    <n v="9.6600000000000005E-2"/>
    <n v="4.1999999999999997E-3"/>
    <n v="305653216"/>
    <n v="15906961"/>
    <n v="930990000"/>
    <n v="-2.2200000000000001E-2"/>
    <n v="0.32692690699063931"/>
    <n v="0.36340491476643788"/>
    <n v="0.32550069403133058"/>
    <n v="2.7993059686693966E-3"/>
    <x v="2"/>
    <x v="1"/>
    <x v="1"/>
    <x v="1"/>
  </r>
  <r>
    <x v="23"/>
    <x v="23"/>
    <n v="5.3030000000000001E-2"/>
    <n v="4.0000000000000001E-3"/>
    <n v="2.06E-2"/>
    <n v="4.4000000000000003E-3"/>
    <n v="304948024"/>
    <n v="17447300"/>
    <n v="5740000000"/>
    <n v="-1.4E-3"/>
    <n v="5.2797690163281563E-2"/>
    <n v="5.4145395139881557E-2"/>
    <n v="5.2818725099601595E-2"/>
    <n v="2.1127490039840602E-4"/>
    <x v="2"/>
    <x v="1"/>
    <x v="1"/>
    <x v="1"/>
  </r>
  <r>
    <x v="24"/>
    <x v="24"/>
    <n v="0.34320000000000001"/>
    <n v="1.5E-3"/>
    <n v="0.10730000000000001"/>
    <n v="6.7500000000000004E-2"/>
    <n v="303665906"/>
    <n v="92107325"/>
    <n v="884790000"/>
    <n v="-1.17666666666667E-2"/>
    <n v="0.32149882903981269"/>
    <n v="0.38445166349277471"/>
    <n v="0.34268597104343484"/>
    <n v="5.1402895656516012E-4"/>
    <x v="2"/>
    <x v="1"/>
    <x v="1"/>
    <x v="0"/>
  </r>
  <r>
    <x v="25"/>
    <x v="25"/>
    <n v="7.0470000000000005E-2"/>
    <n v="3.3E-3"/>
    <n v="5.3400000000000003E-2"/>
    <n v="4.48E-2"/>
    <n v="303552701"/>
    <n v="15048737"/>
    <n v="4300000000"/>
    <n v="4.3333333333333201E-4"/>
    <n v="6.744831546707504E-2"/>
    <n v="7.4445383477709709E-2"/>
    <n v="7.0238213894149304E-2"/>
    <n v="2.3178610585070092E-4"/>
    <x v="2"/>
    <x v="1"/>
    <x v="1"/>
    <x v="0"/>
  </r>
  <r>
    <x v="26"/>
    <x v="26"/>
    <n v="6.0499999999999998E-3"/>
    <n v="1.1000000000000001E-3"/>
    <n v="6.1800000000000001E-2"/>
    <n v="5.5E-2"/>
    <n v="299162734"/>
    <n v="24070695"/>
    <n v="49440000000"/>
    <n v="-1.16666666666667E-3"/>
    <n v="5.7345971563981047E-3"/>
    <n v="6.4485184395651242E-3"/>
    <n v="6.043352312456297E-3"/>
    <n v="6.6476875437027766E-6"/>
    <x v="4"/>
    <x v="1"/>
    <x v="1"/>
    <x v="1"/>
  </r>
  <r>
    <x v="27"/>
    <x v="27"/>
    <n v="3.54"/>
    <n v="2.8E-3"/>
    <n v="3.6999999999999998E-2"/>
    <n v="0.58040000000000003"/>
    <n v="297004021"/>
    <n v="17442756"/>
    <n v="83730000"/>
    <n v="0.183933333333333"/>
    <n v="2.2399392558845861"/>
    <n v="3.67601246105919"/>
    <n v="3.530115676106901"/>
    <n v="9.8843238930990118E-3"/>
    <x v="1"/>
    <x v="1"/>
    <x v="1"/>
    <x v="0"/>
  </r>
  <r>
    <x v="28"/>
    <x v="28"/>
    <n v="2.7289999999999998E-2"/>
    <n v="1.6999999999999999E-3"/>
    <n v="4.58E-2"/>
    <n v="2.5000000000000001E-2"/>
    <n v="292892937"/>
    <n v="29024082"/>
    <n v="10720000000"/>
    <n v="-5.2333333333333303E-3"/>
    <n v="2.6624390243902441E-2"/>
    <n v="2.8599874240201214E-2"/>
    <n v="2.7243685734251771E-2"/>
    <n v="4.6314265748227668E-5"/>
    <x v="4"/>
    <x v="1"/>
    <x v="1"/>
    <x v="1"/>
  </r>
  <r>
    <x v="29"/>
    <x v="29"/>
    <n v="2.9969999999999999E-5"/>
    <n v="2.7000000000000001E-3"/>
    <n v="5.2400000000000002E-2"/>
    <n v="9.1000000000000004E-3"/>
    <n v="285958962"/>
    <n v="55793722"/>
    <n v="9530000000000"/>
    <n v="-1.1733333333333301E-2"/>
    <n v="2.9699732434842924E-5"/>
    <n v="3.1627268889826929E-5"/>
    <n v="2.9889298892988933E-5"/>
    <n v="8.0701107011066294E-8"/>
    <x v="4"/>
    <x v="1"/>
    <x v="1"/>
    <x v="1"/>
  </r>
  <r>
    <x v="30"/>
    <x v="30"/>
    <n v="9.5160000000000002E-3"/>
    <n v="1.8E-3"/>
    <n v="2.06E-2"/>
    <n v="7.0000000000000001E-3"/>
    <n v="4548337203"/>
    <n v="33714759"/>
    <n v="477920000000"/>
    <n v="-2.7333333333333298E-3"/>
    <n v="9.4498510427010931E-3"/>
    <n v="9.7161527465795382E-3"/>
    <n v="9.4989019764424032E-3"/>
    <n v="1.7098023557596959E-5"/>
    <x v="4"/>
    <x v="1"/>
    <x v="1"/>
    <x v="1"/>
  </r>
  <r>
    <x v="31"/>
    <x v="31"/>
    <n v="0.99739999999999995"/>
    <n v="0"/>
    <n v="0"/>
    <n v="6.9999999999999999E-4"/>
    <n v="1637470973"/>
    <n v="2607510"/>
    <n v="1640000000"/>
    <n v="2.3333333333333301E-4"/>
    <n v="0.9967023083841311"/>
    <n v="0.99739999999999995"/>
    <n v="0.99739999999999995"/>
    <n v="0"/>
    <x v="1"/>
    <x v="1"/>
    <x v="1"/>
    <x v="1"/>
  </r>
  <r>
    <x v="32"/>
    <x v="32"/>
    <n v="3.74"/>
    <n v="1.2999999999999999E-3"/>
    <n v="4.0300000000000002E-2"/>
    <n v="4.1000000000000002E-2"/>
    <n v="1138786327"/>
    <n v="18938750"/>
    <n v="303780000"/>
    <n v="1.5333333333333299E-3"/>
    <n v="3.5926993275696448"/>
    <n v="3.8970511618214028"/>
    <n v="3.7351443123938877"/>
    <n v="4.8556876061125465E-3"/>
    <x v="1"/>
    <x v="1"/>
    <x v="1"/>
    <x v="1"/>
  </r>
  <r>
    <x v="33"/>
    <x v="33"/>
    <n v="1.1200000000000001"/>
    <n v="5.0000000000000001E-4"/>
    <n v="1.14E-2"/>
    <n v="1.3899999999999999E-2"/>
    <n v="712356590"/>
    <n v="340607"/>
    <n v="633420000"/>
    <n v="1.33333333333333E-3"/>
    <n v="1.104645428543249"/>
    <n v="1.1329152336637671"/>
    <n v="1.1194402798600702"/>
    <n v="5.5972013992988678E-4"/>
    <x v="1"/>
    <x v="1"/>
    <x v="1"/>
    <x v="0"/>
  </r>
  <r>
    <x v="34"/>
    <x v="34"/>
    <n v="8.029E-2"/>
    <n v="4.0000000000000002E-4"/>
    <n v="1.2999999999999999E-3"/>
    <n v="3.2000000000000002E-3"/>
    <n v="610730165"/>
    <n v="13536428"/>
    <n v="7600000000"/>
    <n v="1.0333333333333299E-3"/>
    <n v="8.0033891547049429E-2"/>
    <n v="8.0394512866726747E-2"/>
    <n v="8.0257896841263499E-2"/>
    <n v="3.2103158736501713E-5"/>
    <x v="2"/>
    <x v="1"/>
    <x v="1"/>
    <x v="0"/>
  </r>
  <r>
    <x v="35"/>
    <x v="35"/>
    <n v="4.3899999999999997"/>
    <n v="4.7199999999999999E-2"/>
    <n v="525.39430000000004"/>
    <n v="363.57889999999998"/>
    <n v="574232075"/>
    <n v="7395"/>
    <n v="130520000.00000001"/>
    <n v="-53.891266666666702"/>
    <n v="1.2041289279220492E-2"/>
    <n v="-8.3715631539091843E-3"/>
    <n v="4.1921313980137507"/>
    <n v="0.197868601986249"/>
    <x v="1"/>
    <x v="1"/>
    <x v="1"/>
    <x v="1"/>
  </r>
  <r>
    <x v="36"/>
    <x v="36"/>
    <n v="0.99850000000000005"/>
    <n v="2.0000000000000001E-4"/>
    <n v="2.0000000000000001E-4"/>
    <n v="2.0000000000000001E-4"/>
    <n v="573008942"/>
    <n v="1859478"/>
    <n v="573810000"/>
    <n v="2.0000000000000001E-4"/>
    <n v="0.99830033993201372"/>
    <n v="0.99869973994798966"/>
    <n v="0.99830033993201372"/>
    <n v="1.9966006798632918E-4"/>
    <x v="1"/>
    <x v="1"/>
    <x v="1"/>
    <x v="0"/>
  </r>
  <r>
    <x v="37"/>
    <x v="37"/>
    <n v="1"/>
    <n v="1E-4"/>
    <n v="2.9999999999999997E-4"/>
    <n v="2.9999999999999997E-4"/>
    <n v="527528553"/>
    <n v="665721"/>
    <n v="527429999.99999994"/>
    <n v="1E-4"/>
    <n v="0.99970008997300808"/>
    <n v="1.000300090027008"/>
    <n v="0.99990000999900008"/>
    <n v="9.9990000999916617E-5"/>
    <x v="1"/>
    <x v="1"/>
    <x v="1"/>
    <x v="1"/>
  </r>
  <r>
    <x v="38"/>
    <x v="38"/>
    <n v="1"/>
    <n v="4.0000000000000002E-4"/>
    <n v="2.0000000000000001E-4"/>
    <n v="4.0000000000000002E-4"/>
    <n v="501506769"/>
    <n v="279495"/>
    <n v="501350000"/>
    <n v="4.6666666666666699E-4"/>
    <n v="0.99960015993602558"/>
    <n v="1.0002000400080016"/>
    <n v="0.99960015993602558"/>
    <n v="3.9984006397442151E-4"/>
    <x v="1"/>
    <x v="1"/>
    <x v="1"/>
    <x v="0"/>
  </r>
  <r>
    <x v="39"/>
    <x v="39"/>
    <n v="1.0900000000000001"/>
    <n v="5.9999999999999995E-4"/>
    <n v="2.2000000000000001E-3"/>
    <n v="1.9E-3"/>
    <n v="476025407"/>
    <n v="64269"/>
    <n v="436260000"/>
    <n v="5.0000000000000001E-4"/>
    <n v="1.0879329274378682"/>
    <n v="1.0924032872319103"/>
    <n v="1.0893463921647013"/>
    <n v="6.5360783529877509E-4"/>
    <x v="1"/>
    <x v="1"/>
    <x v="1"/>
    <x v="1"/>
  </r>
  <r>
    <x v="40"/>
    <x v="40"/>
    <n v="8.4860000000000005E-2"/>
    <n v="6.4000000000000003E-3"/>
    <n v="6.3200000000000006E-2"/>
    <n v="2.3E-2"/>
    <n v="369982619"/>
    <n v="1036052"/>
    <n v="4350000000"/>
    <n v="-7.0000000000000001E-3"/>
    <n v="8.295210166177909E-2"/>
    <n v="9.0584970111016239E-2"/>
    <n v="8.4320349761526234E-2"/>
    <n v="5.3965023847377114E-4"/>
    <x v="2"/>
    <x v="1"/>
    <x v="1"/>
    <x v="1"/>
  </r>
  <r>
    <x v="41"/>
    <x v="41"/>
    <n v="0.46300000000000002"/>
    <n v="5.3100000000000001E-2"/>
    <n v="0.2382"/>
    <n v="1.1661999999999999"/>
    <n v="337489922"/>
    <n v="39328010"/>
    <n v="728850000"/>
    <n v="0.362433333333333"/>
    <n v="0.21373834364324626"/>
    <n v="0.60777106852192175"/>
    <n v="0.43965435381255347"/>
    <n v="2.3345646187446556E-2"/>
    <x v="2"/>
    <x v="1"/>
    <x v="1"/>
    <x v="1"/>
  </r>
  <r>
    <x v="42"/>
    <x v="42"/>
    <n v="1.63"/>
    <n v="0.47510000000000002"/>
    <n v="1.2766999999999999"/>
    <n v="3.6073"/>
    <n v="342710100"/>
    <n v="55522502"/>
    <n v="210000000"/>
    <n v="1.25196666666667"/>
    <n v="0.35378638247997735"/>
    <n v="-5.8908565233104451"/>
    <n v="1.1050098298420445"/>
    <n v="0.52499017015795535"/>
    <x v="1"/>
    <x v="1"/>
    <x v="1"/>
    <x v="1"/>
  </r>
  <r>
    <x v="43"/>
    <x v="43"/>
    <n v="6.8269999999999995E-4"/>
    <n v="2.9999999999999997E-4"/>
    <n v="4.4999999999999998E-2"/>
    <n v="74.854500000000002"/>
    <n v="282921577"/>
    <n v="222756"/>
    <n v="414400000000"/>
    <n v="24.936800000000002"/>
    <n v="9.0001252397682396E-6"/>
    <n v="7.1486910994764401E-4"/>
    <n v="6.8249525142457265E-4"/>
    <n v="2.0474857542729895E-7"/>
    <x v="4"/>
    <x v="1"/>
    <x v="1"/>
    <x v="0"/>
  </r>
  <r>
    <x v="44"/>
    <x v="44"/>
    <n v="6.8269999999999995E-4"/>
    <n v="2.9999999999999997E-4"/>
    <n v="4.5199999999999997E-2"/>
    <n v="65.210899999999995"/>
    <n v="279559451"/>
    <n v="189595"/>
    <n v="409450000000"/>
    <n v="21.722200000000001"/>
    <n v="1.0310991090590825E-5"/>
    <n v="7.1501885211562631E-4"/>
    <n v="6.8249525142457265E-4"/>
    <n v="2.0474857542729895E-7"/>
    <x v="4"/>
    <x v="1"/>
    <x v="1"/>
    <x v="1"/>
  </r>
  <r>
    <x v="45"/>
    <x v="45"/>
    <n v="3.8410000000000001E-4"/>
    <n v="8.6999999999999994E-3"/>
    <n v="4.5999999999999999E-3"/>
    <n v="6.4000000000000003E-3"/>
    <n v="67412259"/>
    <n v="7376719"/>
    <n v="175470000000"/>
    <n v="9.2999999999999992E-3"/>
    <n v="3.816573926868045E-4"/>
    <n v="3.858750251155315E-4"/>
    <n v="3.8078715177951821E-4"/>
    <n v="3.3128482204818066E-6"/>
    <x v="4"/>
    <x v="1"/>
    <x v="1"/>
    <x v="1"/>
  </r>
  <r>
    <x v="46"/>
    <x v="46"/>
    <n v="5.3120000000000001E-2"/>
    <n v="4.0000000000000002E-4"/>
    <n v="4.2799999999999998E-2"/>
    <n v="3.1300000000000001E-2"/>
    <n v="67287158"/>
    <n v="16253160"/>
    <n v="1260000000"/>
    <n v="-3.4333333333333299E-3"/>
    <n v="5.1507805682148737E-2"/>
    <n v="5.5495194316757208E-2"/>
    <n v="5.3098760495801679E-2"/>
    <n v="2.1239504198321268E-5"/>
    <x v="2"/>
    <x v="1"/>
    <x v="1"/>
    <x v="1"/>
  </r>
  <r>
    <x v="47"/>
    <x v="47"/>
    <n v="5.1527000000000003E-2"/>
    <n v="1E-4"/>
    <n v="3.44E-2"/>
    <n v="3.3E-3"/>
    <n v="66523252"/>
    <n v="249720"/>
    <n v="43550000000000"/>
    <n v="-1.02666666666667E-2"/>
    <n v="5.1357520183394796E-2"/>
    <n v="5.3362676056338029E-2"/>
    <n v="5.1521847815218479E-2"/>
    <n v="5.1521847815247379E-6"/>
    <x v="2"/>
    <x v="1"/>
    <x v="1"/>
    <x v="1"/>
  </r>
  <r>
    <x v="48"/>
    <x v="48"/>
    <n v="6.1698999999999997E-2"/>
    <n v="1.1999999999999999E-3"/>
    <n v="5.6099999999999997E-2"/>
    <n v="1.6999999999999999E-3"/>
    <n v="66358856"/>
    <n v="11239166"/>
    <n v="390560000000000"/>
    <n v="-1.69333333333333E-2"/>
    <n v="6.1594289707497252E-2"/>
    <n v="6.5366034537556947E-2"/>
    <n v="6.1625049940071903E-2"/>
    <n v="7.3950059928093448E-5"/>
    <x v="2"/>
    <x v="1"/>
    <x v="1"/>
    <x v="1"/>
  </r>
  <r>
    <x v="49"/>
    <x v="49"/>
    <n v="1"/>
    <n v="2.0000000000000001E-4"/>
    <n v="2.9999999999999997E-4"/>
    <n v="0"/>
    <n v="66318972"/>
    <n v="8227692"/>
    <n v="66300000"/>
    <n v="1E-4"/>
    <n v="1"/>
    <n v="1.000300090027008"/>
    <n v="0.99980003999200162"/>
    <n v="1.9996000799837876E-4"/>
    <x v="1"/>
    <x v="1"/>
    <x v="1"/>
    <x v="0"/>
  </r>
  <r>
    <x v="50"/>
    <x v="50"/>
    <n v="1"/>
    <n v="1E-4"/>
    <n v="2.9999999999999997E-4"/>
    <n v="5.0000000000000001E-4"/>
    <n v="66250542"/>
    <n v="47907803"/>
    <n v="66239999.999999993"/>
    <n v="1.6666666666666701E-4"/>
    <n v="0.99950024987506247"/>
    <n v="1.000300090027008"/>
    <n v="0.99990000999900008"/>
    <n v="9.9990000999916617E-5"/>
    <x v="1"/>
    <x v="1"/>
    <x v="1"/>
    <x v="0"/>
  </r>
  <r>
    <x v="51"/>
    <x v="51"/>
    <n v="1.6480000000000002E-2"/>
    <n v="1.9E-3"/>
    <n v="1.9300000000000001E-2"/>
    <n v="4.7600000000000003E-2"/>
    <n v="65148258"/>
    <n v="4597098"/>
    <n v="3950000000"/>
    <n v="1.1333333333333299E-2"/>
    <n v="1.5731195112638412E-2"/>
    <n v="1.6804323442439074E-2"/>
    <n v="1.6448747379978042E-2"/>
    <n v="3.1252620021959832E-5"/>
    <x v="4"/>
    <x v="1"/>
    <x v="1"/>
    <x v="1"/>
  </r>
  <r>
    <x v="52"/>
    <x v="52"/>
    <n v="7.9030000000000003E-2"/>
    <n v="2.3999999999999998E-3"/>
    <n v="3.9E-2"/>
    <n v="1.84E-2"/>
    <n v="64721062"/>
    <n v="1528366"/>
    <n v="818920000"/>
    <n v="-4.46666666666667E-3"/>
    <n v="7.7602120974076982E-2"/>
    <n v="8.2237252861602508E-2"/>
    <n v="7.8840782122905032E-2"/>
    <n v="1.8921787709497151E-4"/>
    <x v="2"/>
    <x v="1"/>
    <x v="1"/>
    <x v="1"/>
  </r>
  <r>
    <x v="53"/>
    <x v="53"/>
    <n v="0.67689999999999995"/>
    <n v="2.9999999999999997E-4"/>
    <n v="6.0900000000000003E-2"/>
    <n v="0.04"/>
    <n v="64206456"/>
    <n v="3410461"/>
    <n v="94840000"/>
    <n v="-6.6666666666666697E-3"/>
    <n v="0.65086538461538457"/>
    <n v="0.72079650729421774"/>
    <n v="0.67669699090272917"/>
    <n v="2.0300909727077876E-4"/>
    <x v="1"/>
    <x v="1"/>
    <x v="1"/>
    <x v="1"/>
  </r>
  <r>
    <x v="54"/>
    <x v="54"/>
    <n v="5.6779999999999997E-2"/>
    <n v="8.2000000000000007E-3"/>
    <n v="6.6400000000000001E-2"/>
    <n v="2.5000000000000001E-3"/>
    <n v="63975920"/>
    <n v="122933355"/>
    <n v="1120000000"/>
    <n v="-1.3100000000000001E-2"/>
    <n v="5.6638403990024941E-2"/>
    <n v="6.081833761782348E-2"/>
    <n v="5.631819083515175E-2"/>
    <n v="4.6180916484824669E-4"/>
    <x v="2"/>
    <x v="1"/>
    <x v="1"/>
    <x v="0"/>
  </r>
  <r>
    <x v="55"/>
    <x v="55"/>
    <n v="7.4539999999999997E-3"/>
    <n v="2.5999999999999999E-3"/>
    <n v="3.39E-2"/>
    <n v="8.6E-3"/>
    <n v="63771015"/>
    <n v="3647690"/>
    <n v="8550000000.000001"/>
    <n v="-5.8333333333333301E-3"/>
    <n v="7.390442197104898E-3"/>
    <n v="7.7155573957147297E-3"/>
    <n v="7.4346698583682425E-3"/>
    <n v="1.9330141631757232E-5"/>
    <x v="4"/>
    <x v="1"/>
    <x v="1"/>
    <x v="0"/>
  </r>
  <r>
    <x v="56"/>
    <x v="56"/>
    <n v="6.4699000000000007E-2"/>
    <n v="1.5E-3"/>
    <n v="2.8799999999999999E-2"/>
    <n v="1.61E-2"/>
    <n v="63587656"/>
    <n v="1574497"/>
    <n v="135320000000000"/>
    <n v="-2.7333333333333298E-3"/>
    <n v="6.3673850998917439E-2"/>
    <n v="6.661758649093906E-2"/>
    <n v="6.4602096854717919E-2"/>
    <n v="9.6903145282087322E-5"/>
    <x v="2"/>
    <x v="1"/>
    <x v="1"/>
    <x v="1"/>
  </r>
  <r>
    <x v="57"/>
    <x v="57"/>
    <n v="2.2269999999999998E-3"/>
    <n v="2.0299999999999999E-2"/>
    <n v="4.4299999999999999E-2"/>
    <n v="3.09E-2"/>
    <n v="63553814"/>
    <n v="1679635"/>
    <n v="28530000000"/>
    <n v="1.58333333333333E-2"/>
    <n v="2.1602483267048212E-3"/>
    <n v="2.3302291514073451E-3"/>
    <n v="2.1826913652847201E-3"/>
    <n v="4.4308634715279748E-5"/>
    <x v="4"/>
    <x v="1"/>
    <x v="1"/>
    <x v="1"/>
  </r>
  <r>
    <x v="58"/>
    <x v="58"/>
    <n v="5.969E-2"/>
    <n v="2.0999999999999999E-3"/>
    <n v="5.0000000000000001E-3"/>
    <n v="3.8E-3"/>
    <n v="63465177"/>
    <n v="666707"/>
    <n v="1060000000"/>
    <n v="1.6999999999999999E-3"/>
    <n v="5.9464036660689376E-2"/>
    <n v="5.9989949748743721E-2"/>
    <n v="5.9564913681269337E-2"/>
    <n v="1.2508631873066334E-4"/>
    <x v="2"/>
    <x v="1"/>
    <x v="1"/>
    <x v="1"/>
  </r>
  <r>
    <x v="59"/>
    <x v="59"/>
    <n v="0.182"/>
    <n v="2E-3"/>
    <n v="0.17979999999999999"/>
    <n v="0.18390000000000001"/>
    <n v="62798256"/>
    <n v="8207139"/>
    <n v="344960000"/>
    <n v="3.3666666666666701E-3"/>
    <n v="0.1537292001013599"/>
    <n v="0.22189709826871493"/>
    <n v="0.18163672654690619"/>
    <n v="3.6327345309380976E-4"/>
    <x v="2"/>
    <x v="1"/>
    <x v="1"/>
    <x v="1"/>
  </r>
  <r>
    <x v="60"/>
    <x v="60"/>
    <n v="0.1002"/>
    <n v="5.7999999999999996E-3"/>
    <n v="8.8400000000000006E-2"/>
    <n v="2.3E-2"/>
    <n v="45056505"/>
    <n v="16413277"/>
    <n v="449640000"/>
    <n v="-1.6E-2"/>
    <n v="9.7947214076246347E-2"/>
    <n v="0.10991663010092145"/>
    <n v="9.9622191290515014E-2"/>
    <n v="5.7780870948498375E-4"/>
    <x v="2"/>
    <x v="1"/>
    <x v="1"/>
    <x v="1"/>
  </r>
  <r>
    <x v="61"/>
    <x v="61"/>
    <n v="3.2429999999999998E-3"/>
    <n v="7.6E-3"/>
    <n v="6.3200000000000006E-2"/>
    <n v="3.6299999999999999E-2"/>
    <n v="45044480"/>
    <n v="1438190"/>
    <n v="13880000000"/>
    <n v="-1.3666666666666701E-3"/>
    <n v="3.1294026826208625E-3"/>
    <n v="3.4617847993168231E-3"/>
    <n v="3.2185391028185786E-3"/>
    <n v="2.4460897181421189E-5"/>
    <x v="4"/>
    <x v="1"/>
    <x v="1"/>
    <x v="0"/>
  </r>
  <r>
    <x v="62"/>
    <x v="62"/>
    <n v="4.5039999999999997E-2"/>
    <n v="1.8E-3"/>
    <n v="4.9399999999999999E-2"/>
    <n v="7.9000000000000008E-3"/>
    <n v="44978557"/>
    <n v="2473455"/>
    <n v="998460000"/>
    <n v="-1.20333333333333E-2"/>
    <n v="4.4686972913979557E-2"/>
    <n v="4.7380601725226172E-2"/>
    <n v="4.495907366739868E-2"/>
    <n v="8.0926332601316542E-5"/>
    <x v="4"/>
    <x v="1"/>
    <x v="1"/>
    <x v="0"/>
  </r>
  <r>
    <x v="63"/>
    <x v="63"/>
    <n v="2.043E-2"/>
    <n v="4.3E-3"/>
    <n v="7.2900000000000006E-2"/>
    <n v="0.1729"/>
    <n v="44759905"/>
    <n v="9264254"/>
    <n v="2180000000"/>
    <n v="3.7633333333333303E-2"/>
    <n v="1.7418364736976725E-2"/>
    <n v="2.203645777154568E-2"/>
    <n v="2.0342527133326696E-2"/>
    <n v="8.74728666733042E-5"/>
    <x v="4"/>
    <x v="1"/>
    <x v="1"/>
    <x v="0"/>
  </r>
  <r>
    <x v="64"/>
    <x v="64"/>
    <n v="0.46310000000000001"/>
    <n v="2.8E-3"/>
    <n v="1.4999999999999999E-2"/>
    <n v="0.06"/>
    <n v="44603782"/>
    <n v="2534819"/>
    <n v="96310000"/>
    <n v="1.78E-2"/>
    <n v="0.43688679245283019"/>
    <n v="0.47015228426395939"/>
    <n v="0.46180694056641408"/>
    <n v="1.2930594335859302E-3"/>
    <x v="2"/>
    <x v="1"/>
    <x v="1"/>
    <x v="1"/>
  </r>
  <r>
    <x v="65"/>
    <x v="65"/>
    <n v="1.48"/>
    <n v="4.4000000000000003E-3"/>
    <n v="1.9199999999999998E-2"/>
    <n v="5.6300000000000003E-2"/>
    <n v="44588598"/>
    <n v="5921669"/>
    <n v="30080000"/>
    <n v="1.6766666666666701E-2"/>
    <n v="1.4011171068825143"/>
    <n v="1.5089722675367048"/>
    <n v="1.4735165272799682"/>
    <n v="6.4834727200318021E-3"/>
    <x v="1"/>
    <x v="1"/>
    <x v="1"/>
    <x v="1"/>
  </r>
  <r>
    <x v="66"/>
    <x v="66"/>
    <n v="2"/>
    <n v="1.24E-2"/>
    <n v="1.7899999999999999E-2"/>
    <n v="0.1492"/>
    <n v="44476085"/>
    <n v="6949561"/>
    <n v="22200000"/>
    <n v="5.6166666666666698E-2"/>
    <n v="1.7403411068569439"/>
    <n v="2.0364524997454434"/>
    <n v="1.9755037534571316"/>
    <n v="2.4496246542868416E-2"/>
    <x v="1"/>
    <x v="1"/>
    <x v="1"/>
    <x v="1"/>
  </r>
  <r>
    <x v="67"/>
    <x v="67"/>
    <n v="4.3279999999999999E-2"/>
    <n v="4.7000000000000002E-3"/>
    <n v="3.1699999999999999E-2"/>
    <n v="4.5999999999999999E-3"/>
    <n v="44476314"/>
    <n v="1732389"/>
    <n v="1020000000"/>
    <n v="-4.3333333333333297E-3"/>
    <n v="4.3081823611387619E-2"/>
    <n v="4.4696891459258488E-2"/>
    <n v="4.3077535582761027E-2"/>
    <n v="2.0246441723897196E-4"/>
    <x v="4"/>
    <x v="1"/>
    <x v="1"/>
    <x v="1"/>
  </r>
  <r>
    <x v="68"/>
    <x v="68"/>
    <n v="1.0149999999999999E-2"/>
    <n v="4.5999999999999999E-3"/>
    <n v="3.2000000000000002E-3"/>
    <n v="1.9099999999999999E-2"/>
    <n v="44295362"/>
    <n v="6845123"/>
    <n v="4360000000"/>
    <n v="9.9000000000000008E-3"/>
    <n v="9.9597684231184386E-3"/>
    <n v="1.018258426966292E-2"/>
    <n v="1.0103523790563408E-2"/>
    <n v="4.647620943659149E-5"/>
    <x v="4"/>
    <x v="1"/>
    <x v="1"/>
    <x v="0"/>
  </r>
  <r>
    <x v="69"/>
    <x v="69"/>
    <n v="0.5222"/>
    <n v="9.4999999999999998E-3"/>
    <n v="8.14E-2"/>
    <n v="3.27E-2"/>
    <n v="44286170"/>
    <n v="13715"/>
    <n v="84800000"/>
    <n v="-6.7333333333333299E-3"/>
    <n v="0.50566476227365165"/>
    <n v="0.56847376442412367"/>
    <n v="0.51728578504209999"/>
    <n v="4.9142149579000094E-3"/>
    <x v="1"/>
    <x v="1"/>
    <x v="1"/>
    <x v="0"/>
  </r>
  <r>
    <x v="70"/>
    <x v="70"/>
    <n v="0.99980000000000002"/>
    <n v="0"/>
    <n v="1E-4"/>
    <n v="1.1999999999999999E-3"/>
    <n v="44116467"/>
    <n v="1155229"/>
    <n v="44120000"/>
    <n v="3.66666666666667E-4"/>
    <n v="0.99860167798641619"/>
    <n v="0.99989998999899987"/>
    <n v="0.99980000000000002"/>
    <n v="0"/>
    <x v="1"/>
    <x v="1"/>
    <x v="1"/>
    <x v="1"/>
  </r>
  <r>
    <x v="71"/>
    <x v="71"/>
    <n v="0.30059999999999998"/>
    <n v="2.3999999999999998E-3"/>
    <n v="9.1999999999999998E-3"/>
    <n v="1.9400000000000001E-2"/>
    <n v="44012989"/>
    <n v="373796"/>
    <n v="146380000"/>
    <n v="5.7999999999999996E-3"/>
    <n v="0.29487934078869921"/>
    <n v="0.30339119903108597"/>
    <n v="0.29988028731045491"/>
    <n v="7.1971268954507117E-4"/>
    <x v="2"/>
    <x v="1"/>
    <x v="1"/>
    <x v="0"/>
  </r>
  <r>
    <x v="72"/>
    <x v="72"/>
    <n v="0.43969999999999998"/>
    <n v="7.7000000000000002E-3"/>
    <n v="4.1799999999999997E-2"/>
    <n v="0.01"/>
    <n v="43972356"/>
    <n v="17237868"/>
    <n v="100000000"/>
    <n v="-2.8999999999999998E-3"/>
    <n v="0.43534653465346534"/>
    <n v="0.45888123565017735"/>
    <n v="0.43634018060930829"/>
    <n v="3.3598193906916873E-3"/>
    <x v="2"/>
    <x v="1"/>
    <x v="1"/>
    <x v="1"/>
  </r>
  <r>
    <x v="73"/>
    <x v="73"/>
    <n v="1.5100000000000001E-2"/>
    <n v="4.0000000000000001E-3"/>
    <n v="2.8899999999999999E-2"/>
    <n v="1E-4"/>
    <n v="43933931"/>
    <n v="9212633"/>
    <n v="2900000000"/>
    <n v="-5.5999999999999999E-3"/>
    <n v="1.5098490150984903E-2"/>
    <n v="1.5549376995160128E-2"/>
    <n v="1.5039840637450199E-2"/>
    <n v="6.0159362549801546E-5"/>
    <x v="4"/>
    <x v="1"/>
    <x v="1"/>
    <x v="1"/>
  </r>
  <r>
    <x v="74"/>
    <x v="74"/>
    <n v="0.31819999999999998"/>
    <n v="2.0000000000000001E-4"/>
    <n v="1.8E-3"/>
    <n v="5.0900000000000001E-2"/>
    <n v="43765925"/>
    <n v="3003343"/>
    <n v="137510000"/>
    <n v="1.6566666666666698E-2"/>
    <n v="0.30278808640213151"/>
    <n v="0.31877379282708873"/>
    <n v="0.31813637272545492"/>
    <n v="6.3627274545063894E-5"/>
    <x v="2"/>
    <x v="1"/>
    <x v="1"/>
    <x v="0"/>
  </r>
  <r>
    <x v="75"/>
    <x v="75"/>
    <n v="0.1163"/>
    <n v="6.8999999999999999E-3"/>
    <n v="3.3599999999999998E-2"/>
    <n v="6.9900000000000004E-2"/>
    <n v="33187400"/>
    <n v="11031512"/>
    <n v="285310000"/>
    <n v="1.9E-2"/>
    <n v="0.1087017478268997"/>
    <n v="0.12034354304635761"/>
    <n v="0.11550302909921542"/>
    <n v="7.9697090078457988E-4"/>
    <x v="2"/>
    <x v="1"/>
    <x v="1"/>
    <x v="1"/>
  </r>
  <r>
    <x v="76"/>
    <x v="76"/>
    <n v="475.3"/>
    <n v="1.9E-3"/>
    <n v="2.3E-3"/>
    <n v="3.7600000000000001E-2"/>
    <n v="33059911"/>
    <n v="475440"/>
    <n v="69550"/>
    <n v="1.36666666666667E-2"/>
    <n v="458.07632999228986"/>
    <n v="476.39571013330658"/>
    <n v="474.39864257909971"/>
    <n v="0.9013574209002968"/>
    <x v="0"/>
    <x v="0"/>
    <x v="0"/>
    <x v="1"/>
  </r>
  <r>
    <x v="77"/>
    <x v="77"/>
    <n v="0.2109"/>
    <n v="1.0200000000000001E-2"/>
    <n v="0.1222"/>
    <n v="2.6800000000000001E-2"/>
    <n v="32960796"/>
    <n v="3203872"/>
    <n v="156250000"/>
    <n v="-2.1600000000000001E-2"/>
    <n v="0.20539540319439037"/>
    <n v="0.24025974025974026"/>
    <n v="0.20877054048703228"/>
    <n v="2.1294595129677241E-3"/>
    <x v="2"/>
    <x v="1"/>
    <x v="1"/>
    <x v="1"/>
  </r>
  <r>
    <x v="78"/>
    <x v="78"/>
    <n v="4.9800000000000004"/>
    <n v="5.4999999999999997E-3"/>
    <n v="1.8599999999999998E-2"/>
    <n v="1.6899999999999998E-2"/>
    <n v="32861595"/>
    <n v="8992170"/>
    <n v="6590000"/>
    <n v="4.9333333333333304E-3"/>
    <n v="4.8972366997738233"/>
    <n v="5.0743835337273282"/>
    <n v="4.9527598209845847"/>
    <n v="2.7240179015415755E-2"/>
    <x v="1"/>
    <x v="1"/>
    <x v="1"/>
    <x v="0"/>
  </r>
  <r>
    <x v="79"/>
    <x v="79"/>
    <n v="0.3271"/>
    <n v="2.0999999999999999E-3"/>
    <n v="2.9999999999999997E-4"/>
    <n v="7.4200000000000002E-2"/>
    <n v="32719123"/>
    <n v="598215"/>
    <n v="100000000"/>
    <n v="2.67333333333333E-2"/>
    <n v="0.30450567864457267"/>
    <n v="0.32719815944783431"/>
    <n v="0.32641452948807503"/>
    <n v="6.8547051192496822E-4"/>
    <x v="2"/>
    <x v="1"/>
    <x v="1"/>
    <x v="1"/>
  </r>
  <r>
    <x v="80"/>
    <x v="80"/>
    <n v="3.27E-2"/>
    <n v="5.8999999999999999E-3"/>
    <n v="2.3699999999999999E-2"/>
    <n v="1.9E-3"/>
    <n v="32706820"/>
    <n v="2413431"/>
    <n v="1000000000"/>
    <n v="-1.3666666666666701E-3"/>
    <n v="3.2637987823136039E-2"/>
    <n v="3.3493803134282497E-2"/>
    <n v="3.2508201610498062E-2"/>
    <n v="1.9179838950193762E-4"/>
    <x v="4"/>
    <x v="1"/>
    <x v="1"/>
    <x v="1"/>
  </r>
  <r>
    <x v="81"/>
    <x v="81"/>
    <n v="651.57000000000005"/>
    <n v="8.0000000000000004E-4"/>
    <n v="7.2900000000000006E-2"/>
    <n v="0.1663"/>
    <n v="32578599"/>
    <n v="6223970"/>
    <n v="50000"/>
    <n v="3.19333333333333E-2"/>
    <n v="558.66415159049984"/>
    <n v="702.80444396505231"/>
    <n v="651.04916067146291"/>
    <n v="0.52083932853713577"/>
    <x v="0"/>
    <x v="0"/>
    <x v="0"/>
    <x v="0"/>
  </r>
  <r>
    <x v="82"/>
    <x v="82"/>
    <n v="3.2469999999999999E-2"/>
    <n v="1.6999999999999999E-3"/>
    <n v="2.2700000000000001E-2"/>
    <n v="2.1499999999999998E-2"/>
    <n v="32473808"/>
    <n v="2924893"/>
    <n v="1000000000"/>
    <n v="1.2999999999999999E-3"/>
    <n v="3.1786588350465002E-2"/>
    <n v="3.3224189092397424E-2"/>
    <n v="3.2414894679045618E-2"/>
    <n v="5.5105320954380865E-5"/>
    <x v="4"/>
    <x v="1"/>
    <x v="1"/>
    <x v="0"/>
  </r>
  <r>
    <x v="83"/>
    <x v="83"/>
    <n v="2.018E-2"/>
    <n v="4.7000000000000002E-3"/>
    <n v="2.0899999999999998E-2"/>
    <n v="4.1099999999999998E-2"/>
    <n v="32356518"/>
    <n v="4372888"/>
    <n v="1600000000"/>
    <n v="1.1433333333333301E-2"/>
    <n v="1.9383344539429453E-2"/>
    <n v="2.061076498825452E-2"/>
    <n v="2.0085597690852993E-2"/>
    <n v="9.440230914700698E-5"/>
    <x v="4"/>
    <x v="1"/>
    <x v="1"/>
    <x v="1"/>
  </r>
  <r>
    <x v="84"/>
    <x v="84"/>
    <n v="0.1497"/>
    <n v="1E-3"/>
    <n v="8.0999999999999996E-3"/>
    <n v="4.3400000000000001E-2"/>
    <n v="32273579"/>
    <n v="7677817"/>
    <n v="215500000"/>
    <n v="1.27666666666667E-2"/>
    <n v="0.14347326049453707"/>
    <n v="0.15092247202338946"/>
    <n v="0.14955044955044958"/>
    <n v="1.4955044955042296E-4"/>
    <x v="2"/>
    <x v="1"/>
    <x v="1"/>
    <x v="0"/>
  </r>
  <r>
    <x v="85"/>
    <x v="85"/>
    <n v="0.29459999999999997"/>
    <n v="1.1999999999999999E-3"/>
    <n v="6.9199999999999998E-2"/>
    <n v="3.78E-2"/>
    <n v="32265827"/>
    <n v="3307258"/>
    <n v="109510000"/>
    <n v="-9.2666666666666592E-3"/>
    <n v="0.28386972441703601"/>
    <n v="0.31650193382036956"/>
    <n v="0.2942469037155413"/>
    <n v="3.5309628445867602E-4"/>
    <x v="2"/>
    <x v="1"/>
    <x v="1"/>
    <x v="0"/>
  </r>
  <r>
    <x v="86"/>
    <x v="86"/>
    <n v="1.7059999999999999E-2"/>
    <n v="8.3000000000000001E-3"/>
    <n v="0.1149"/>
    <n v="2.6100000000000002E-2"/>
    <n v="32237643"/>
    <n v="8124420"/>
    <n v="1880000000"/>
    <n v="-2.1299999999999999E-2"/>
    <n v="1.6626059838222393E-2"/>
    <n v="1.9274658230708393E-2"/>
    <n v="1.6919567589011208E-2"/>
    <n v="1.4043241098879097E-4"/>
    <x v="4"/>
    <x v="1"/>
    <x v="1"/>
    <x v="1"/>
  </r>
  <r>
    <x v="87"/>
    <x v="87"/>
    <n v="432.07"/>
    <n v="1E-4"/>
    <n v="2.64E-2"/>
    <n v="1.03E-2"/>
    <n v="31913954"/>
    <n v="5063033"/>
    <n v="73860"/>
    <n v="-5.2666666666666704E-3"/>
    <n v="427.6650499851529"/>
    <n v="443.78594905505338"/>
    <n v="432.02679732026797"/>
    <n v="4.3202679732019078E-2"/>
    <x v="0"/>
    <x v="0"/>
    <x v="0"/>
    <x v="1"/>
  </r>
  <r>
    <x v="88"/>
    <x v="88"/>
    <n v="9.4979999999999995E-2"/>
    <n v="8.8000000000000005E-3"/>
    <n v="4.4699999999999997E-2"/>
    <n v="0.1099"/>
    <n v="31841781"/>
    <n v="4159527"/>
    <n v="335220000"/>
    <n v="3.0533333333333301E-2"/>
    <n v="8.5575277051986656E-2"/>
    <n v="9.9424264628912379E-2"/>
    <n v="9.4151467089611418E-2"/>
    <n v="8.285329103885769E-4"/>
    <x v="2"/>
    <x v="1"/>
    <x v="1"/>
    <x v="0"/>
  </r>
  <r>
    <x v="89"/>
    <x v="89"/>
    <n v="1.188E-2"/>
    <n v="5.0000000000000001E-3"/>
    <n v="1.4800000000000001E-2"/>
    <n v="2.6599999999999999E-2"/>
    <n v="31829663"/>
    <n v="5797345"/>
    <n v="2670000000"/>
    <n v="8.9333333333333296E-3"/>
    <n v="1.1572180011689071E-2"/>
    <n v="1.2058465286236298E-2"/>
    <n v="1.1820895522388061E-2"/>
    <n v="5.9104477611938641E-5"/>
    <x v="4"/>
    <x v="1"/>
    <x v="1"/>
    <x v="0"/>
  </r>
  <r>
    <x v="90"/>
    <x v="90"/>
    <n v="3.33"/>
    <n v="3.7000000000000002E-3"/>
    <n v="2.8899999999999999E-2"/>
    <n v="6.8699999999999997E-2"/>
    <n v="24358450"/>
    <n v="4771360"/>
    <n v="7290000"/>
    <n v="1.6966666666666699E-2"/>
    <n v="3.1159352484326752"/>
    <n v="3.4291010194624656"/>
    <n v="3.317724419647305"/>
    <n v="1.2275580352695048E-2"/>
    <x v="1"/>
    <x v="1"/>
    <x v="1"/>
    <x v="1"/>
  </r>
  <r>
    <x v="91"/>
    <x v="91"/>
    <n v="617"/>
    <n v="1.1000000000000001E-3"/>
    <n v="1.18E-2"/>
    <n v="1.37E-2"/>
    <n v="24329278"/>
    <n v="2509418"/>
    <n v="39430"/>
    <n v="1.73333333333333E-3"/>
    <n v="608.66133964683831"/>
    <n v="624.36753693584296"/>
    <n v="616.32204574967534"/>
    <n v="0.67795425032466028"/>
    <x v="0"/>
    <x v="0"/>
    <x v="0"/>
    <x v="0"/>
  </r>
  <r>
    <x v="92"/>
    <x v="92"/>
    <n v="2.4299999999999999E-2"/>
    <n v="4.4999999999999997E-3"/>
    <n v="6.88E-2"/>
    <n v="0.12570000000000001"/>
    <n v="24307735"/>
    <n v="10527610"/>
    <n v="999990000"/>
    <n v="2.3466666666666702E-2"/>
    <n v="2.1586568357466467E-2"/>
    <n v="2.6095360824742266E-2"/>
    <n v="2.4191139870582381E-2"/>
    <n v="1.088601294176178E-4"/>
    <x v="4"/>
    <x v="1"/>
    <x v="1"/>
    <x v="0"/>
  </r>
  <r>
    <x v="93"/>
    <x v="93"/>
    <n v="8.5010000000000002E-2"/>
    <n v="3.3E-3"/>
    <n v="3.5000000000000003E-2"/>
    <n v="1.7600000000000001E-2"/>
    <n v="24126349"/>
    <n v="3982680"/>
    <n v="283780000"/>
    <n v="-2.5000000000000001E-3"/>
    <n v="8.3539701257861629E-2"/>
    <n v="8.8093264248704672E-2"/>
    <n v="8.4730389713943977E-2"/>
    <n v="2.7961028605602567E-4"/>
    <x v="2"/>
    <x v="1"/>
    <x v="1"/>
    <x v="1"/>
  </r>
  <r>
    <x v="94"/>
    <x v="94"/>
    <n v="197.74"/>
    <n v="1.8E-3"/>
    <n v="2.1299999999999999E-2"/>
    <n v="4.7699999999999999E-2"/>
    <n v="24052749"/>
    <n v="8816189"/>
    <n v="121630"/>
    <n v="1.06E-2"/>
    <n v="188.73723394101364"/>
    <n v="202.04352712782264"/>
    <n v="197.38470752645239"/>
    <n v="0.35529247354762106"/>
    <x v="0"/>
    <x v="0"/>
    <x v="0"/>
    <x v="1"/>
  </r>
  <r>
    <x v="95"/>
    <x v="95"/>
    <n v="1.49"/>
    <n v="1.6999999999999999E-3"/>
    <n v="5.4000000000000003E-3"/>
    <n v="0.22489999999999999"/>
    <n v="24011157"/>
    <n v="10575909"/>
    <n v="16090000"/>
    <n v="7.4866666666666706E-2"/>
    <n v="1.2164258306800557"/>
    <n v="1.4980896842951941"/>
    <n v="1.4874712987920535"/>
    <n v="2.5287012079464599E-3"/>
    <x v="1"/>
    <x v="1"/>
    <x v="1"/>
    <x v="1"/>
  </r>
  <r>
    <x v="96"/>
    <x v="96"/>
    <n v="4.9450000000000001E-2"/>
    <n v="9.7999999999999997E-3"/>
    <n v="2.3699999999999999E-2"/>
    <n v="2.23E-2"/>
    <n v="23984239"/>
    <n v="51769623"/>
    <n v="484960000"/>
    <n v="9.3333333333333393E-3"/>
    <n v="4.8371319573510714E-2"/>
    <n v="5.0650414831506715E-2"/>
    <n v="4.8970093087740148E-2"/>
    <n v="4.7990691225985316E-4"/>
    <x v="4"/>
    <x v="1"/>
    <x v="1"/>
    <x v="1"/>
  </r>
  <r>
    <x v="97"/>
    <x v="97"/>
    <n v="3.4819999999999997E-2"/>
    <n v="2.0999999999999999E-3"/>
    <n v="7.17E-2"/>
    <n v="3.09E-2"/>
    <n v="23966887"/>
    <n v="1595985"/>
    <n v="688150000"/>
    <n v="-1.15E-2"/>
    <n v="3.3776311960422932E-2"/>
    <n v="3.7509425832166321E-2"/>
    <n v="3.4747031234407741E-2"/>
    <n v="7.2968765592255902E-5"/>
    <x v="4"/>
    <x v="1"/>
    <x v="1"/>
    <x v="0"/>
  </r>
  <r>
    <x v="98"/>
    <x v="98"/>
    <n v="9.5850000000000005E-2"/>
    <n v="5.8999999999999999E-3"/>
    <n v="7.3999999999999996E-2"/>
    <n v="0.14649999999999999"/>
    <n v="23963470"/>
    <n v="10429244"/>
    <n v="250000000"/>
    <n v="3.00666666666667E-2"/>
    <n v="8.3602267771478417E-2"/>
    <n v="0.1035097192224622"/>
    <n v="9.5287801968386529E-2"/>
    <n v="5.6219803161347559E-4"/>
    <x v="2"/>
    <x v="1"/>
    <x v="1"/>
    <x v="1"/>
  </r>
  <r>
    <x v="99"/>
    <x v="99"/>
    <n v="0.1103"/>
    <n v="1.55E-2"/>
    <n v="1.1599999999999999E-2"/>
    <n v="8.2199999999999995E-2"/>
    <n v="23947949"/>
    <n v="5742122"/>
    <n v="217000000"/>
    <n v="3.9033333333333302E-2"/>
    <n v="0.10192201071890593"/>
    <n v="0.11159449615540268"/>
    <n v="0.10861644510093549"/>
    <n v="1.6835548990645072E-3"/>
    <x v="2"/>
    <x v="1"/>
    <x v="1"/>
    <x v="0"/>
  </r>
  <r>
    <x v="100"/>
    <x v="100"/>
    <n v="0.41959999999999997"/>
    <n v="1.8E-3"/>
    <n v="4.7E-2"/>
    <n v="2.5899999999999999E-2"/>
    <n v="23849721"/>
    <n v="1998691"/>
    <n v="56820000"/>
    <n v="-5.2333333333333303E-3"/>
    <n v="0.40900672580173503"/>
    <n v="0.44029380902413429"/>
    <n v="0.41884607706128962"/>
    <n v="7.5392293871034965E-4"/>
    <x v="2"/>
    <x v="1"/>
    <x v="1"/>
    <x v="0"/>
  </r>
  <r>
    <x v="101"/>
    <x v="101"/>
    <n v="3.3029999999999999E-3"/>
    <n v="3.3999999999999998E-3"/>
    <n v="2.3E-2"/>
    <n v="4.4000000000000003E-3"/>
    <n v="23827588"/>
    <n v="1585753"/>
    <n v="7210000000"/>
    <n v="-2.8E-3"/>
    <n v="3.2885304659498208E-3"/>
    <n v="3.3807574206755372E-3"/>
    <n v="3.291807853298784E-3"/>
    <n v="1.1192146701215992E-5"/>
    <x v="4"/>
    <x v="1"/>
    <x v="1"/>
    <x v="1"/>
  </r>
  <r>
    <x v="102"/>
    <x v="102"/>
    <n v="0.12379999999999999"/>
    <n v="0"/>
    <n v="2.4500000000000001E-2"/>
    <n v="3.7900000000000003E-2"/>
    <n v="23824954"/>
    <n v="2516336"/>
    <n v="192420000"/>
    <n v="4.46666666666667E-3"/>
    <n v="0.1192793139994219"/>
    <n v="0.12690927729369553"/>
    <n v="0.12379999999999999"/>
    <n v="0"/>
    <x v="2"/>
    <x v="1"/>
    <x v="1"/>
    <x v="1"/>
  </r>
  <r>
    <x v="103"/>
    <x v="103"/>
    <n v="6.8389999999999996E-3"/>
    <n v="8.0000000000000004E-4"/>
    <n v="1.0500000000000001E-2"/>
    <n v="7.0000000000000001E-3"/>
    <n v="23708110"/>
    <n v="88715"/>
    <n v="3460000000"/>
    <n v="-3.66666666666667E-4"/>
    <n v="6.791459781529295E-3"/>
    <n v="6.9115715007579577E-3"/>
    <n v="6.8335331734612316E-3"/>
    <n v="5.4668265387679618E-6"/>
    <x v="4"/>
    <x v="1"/>
    <x v="1"/>
    <x v="1"/>
  </r>
  <r>
    <x v="104"/>
    <x v="104"/>
    <n v="7.7380000000000004E-2"/>
    <n v="1.4200000000000001E-2"/>
    <n v="3.2199999999999999E-2"/>
    <n v="4.7300000000000002E-2"/>
    <n v="17818597"/>
    <n v="6799409"/>
    <n v="230250000"/>
    <n v="1.92333333333333E-2"/>
    <n v="7.3885228683280832E-2"/>
    <n v="7.9954536061169673E-2"/>
    <n v="7.6296588444093871E-2"/>
    <n v="1.083411555906133E-3"/>
    <x v="2"/>
    <x v="1"/>
    <x v="1"/>
    <x v="0"/>
  </r>
  <r>
    <x v="105"/>
    <x v="105"/>
    <n v="1.7809999999999999E-2"/>
    <n v="8.3000000000000001E-3"/>
    <n v="6.0699999999999997E-2"/>
    <n v="4.1000000000000002E-2"/>
    <n v="17786067"/>
    <n v="2200722"/>
    <n v="998650000"/>
    <n v="1.73333333333334E-3"/>
    <n v="1.7108549471661863E-2"/>
    <n v="1.8960928350899606E-2"/>
    <n v="1.7663393831201031E-2"/>
    <n v="1.4660616879896837E-4"/>
    <x v="4"/>
    <x v="1"/>
    <x v="1"/>
    <x v="1"/>
  </r>
  <r>
    <x v="106"/>
    <x v="106"/>
    <n v="0.17710000000000001"/>
    <n v="0"/>
    <n v="7.9000000000000008E-3"/>
    <n v="3.2300000000000002E-2"/>
    <n v="17710259"/>
    <n v="40"/>
    <n v="100000000"/>
    <n v="8.1333333333333396E-3"/>
    <n v="0.17155865542962317"/>
    <n v="0.1785102308235057"/>
    <n v="0.17710000000000001"/>
    <n v="0"/>
    <x v="2"/>
    <x v="1"/>
    <x v="1"/>
    <x v="1"/>
  </r>
  <r>
    <x v="107"/>
    <x v="107"/>
    <n v="4.4000000000000004"/>
    <n v="3.3E-3"/>
    <n v="5.57E-2"/>
    <n v="1.2699999999999999E-2"/>
    <n v="17663532"/>
    <n v="4268173"/>
    <n v="4000000"/>
    <n v="-1.10333333333333E-2"/>
    <n v="4.3448207761429849"/>
    <n v="4.6595361643545488"/>
    <n v="4.3855277583972887"/>
    <n v="1.4472241602711655E-2"/>
    <x v="1"/>
    <x v="1"/>
    <x v="1"/>
    <x v="0"/>
  </r>
  <r>
    <x v="108"/>
    <x v="108"/>
    <n v="7.0619999999999997E-3"/>
    <n v="6.4000000000000003E-3"/>
    <n v="2.0500000000000001E-2"/>
    <n v="8.4900000000000003E-2"/>
    <n v="17655551"/>
    <n v="6501500"/>
    <n v="2500000000"/>
    <n v="2.7866666666666699E-2"/>
    <n v="6.5093557009862661E-3"/>
    <n v="7.2098009188361406E-3"/>
    <n v="7.0170906200317969E-3"/>
    <n v="4.490937996820283E-5"/>
    <x v="4"/>
    <x v="1"/>
    <x v="1"/>
    <x v="0"/>
  </r>
  <r>
    <x v="109"/>
    <x v="109"/>
    <n v="9.2429999999999997E-4"/>
    <n v="2.8999999999999998E-3"/>
    <n v="5.9999999999999995E-4"/>
    <n v="5.3400000000000003E-2"/>
    <n v="17640631"/>
    <n v="4427621"/>
    <n v="19080000000"/>
    <n v="2.0500000000000001E-2"/>
    <n v="8.774444655401557E-4"/>
    <n v="9.2485491294776873E-4"/>
    <n v="9.2162728088543227E-4"/>
    <n v="2.6727191145677022E-6"/>
    <x v="4"/>
    <x v="1"/>
    <x v="1"/>
    <x v="1"/>
  </r>
  <r>
    <x v="110"/>
    <x v="110"/>
    <n v="1.7569999999999999E-2"/>
    <n v="3.32E-2"/>
    <n v="0.10340000000000001"/>
    <n v="0.33329999999999999"/>
    <n v="17571077"/>
    <n v="8753504"/>
    <n v="1000000000"/>
    <n v="0.10983333333333301"/>
    <n v="1.3177829445736143E-2"/>
    <n v="1.9596252509480258E-2"/>
    <n v="1.7005420054200544E-2"/>
    <n v="5.645799457994552E-4"/>
    <x v="4"/>
    <x v="1"/>
    <x v="1"/>
    <x v="0"/>
  </r>
  <r>
    <x v="111"/>
    <x v="111"/>
    <n v="0.1774"/>
    <n v="8.0999999999999996E-3"/>
    <n v="6.0299999999999999E-2"/>
    <n v="6.2899999999999998E-2"/>
    <n v="17489712"/>
    <n v="127299"/>
    <n v="98550000"/>
    <n v="8.9666666666666592E-3"/>
    <n v="0.16690187223633457"/>
    <n v="0.18878365435777375"/>
    <n v="0.17597460569387957"/>
    <n v="1.4253943061204311E-3"/>
    <x v="2"/>
    <x v="1"/>
    <x v="1"/>
    <x v="0"/>
  </r>
  <r>
    <x v="112"/>
    <x v="112"/>
    <n v="1.9879999999999998E-2"/>
    <n v="2E-3"/>
    <n v="1.6E-2"/>
    <n v="5.4699999999999999E-2"/>
    <n v="17418478"/>
    <n v="7485035"/>
    <n v="876150000"/>
    <n v="1.49E-2"/>
    <n v="1.8848961790082486E-2"/>
    <n v="2.0203252032520325E-2"/>
    <n v="1.9840319361277444E-2"/>
    <n v="3.9680638722554284E-5"/>
    <x v="4"/>
    <x v="1"/>
    <x v="1"/>
    <x v="0"/>
  </r>
  <r>
    <x v="113"/>
    <x v="113"/>
    <n v="3.1309999999999998E-2"/>
    <n v="9.7000000000000003E-3"/>
    <n v="1.5100000000000001E-2"/>
    <n v="3.6499999999999998E-2"/>
    <n v="17394707"/>
    <n v="2462143"/>
    <n v="555540000"/>
    <n v="1.6833333333333301E-2"/>
    <n v="3.0207428847081521E-2"/>
    <n v="3.1790029444613663E-2"/>
    <n v="3.1009210656630679E-2"/>
    <n v="3.0078934336931831E-4"/>
    <x v="4"/>
    <x v="1"/>
    <x v="1"/>
    <x v="1"/>
  </r>
  <r>
    <x v="114"/>
    <x v="114"/>
    <n v="8.6230000000000001E-2"/>
    <n v="1.4500000000000001E-2"/>
    <n v="1.8100000000000002E-2"/>
    <n v="5.7700000000000001E-2"/>
    <n v="17389986"/>
    <n v="10038030"/>
    <n v="201660000"/>
    <n v="2.7699999999999999E-2"/>
    <n v="8.1525952538526986E-2"/>
    <n v="8.7819533557388738E-2"/>
    <n v="8.4997535731887633E-2"/>
    <n v="1.2324642681123682E-3"/>
    <x v="2"/>
    <x v="1"/>
    <x v="1"/>
    <x v="1"/>
  </r>
  <r>
    <x v="115"/>
    <x v="115"/>
    <n v="1.7270000000000001E-2"/>
    <n v="6.9999999999999999E-4"/>
    <n v="2.8199999999999999E-2"/>
    <n v="6.4399999999999999E-2"/>
    <n v="17275084"/>
    <n v="3558642"/>
    <n v="999990000"/>
    <n v="1.27666666666667E-2"/>
    <n v="1.6225103344607292E-2"/>
    <n v="1.777114632640461E-2"/>
    <n v="1.7257919456380534E-2"/>
    <n v="1.2080543619466533E-5"/>
    <x v="4"/>
    <x v="1"/>
    <x v="1"/>
    <x v="1"/>
  </r>
  <r>
    <x v="116"/>
    <x v="116"/>
    <n v="1.23"/>
    <n v="1E-3"/>
    <n v="7.2800000000000004E-2"/>
    <n v="6.1600000000000002E-2"/>
    <n v="16891530"/>
    <n v="372847"/>
    <n v="13650000"/>
    <n v="-2.7333333333333298E-3"/>
    <n v="1.1586284853051996"/>
    <n v="1.3265746333045729"/>
    <n v="1.2287712287712289"/>
    <n v="1.228771228771075E-3"/>
    <x v="1"/>
    <x v="1"/>
    <x v="1"/>
    <x v="1"/>
  </r>
  <r>
    <x v="117"/>
    <x v="117"/>
    <n v="5.3089999999999998E-2"/>
    <n v="5.1000000000000004E-3"/>
    <n v="2.6200000000000001E-2"/>
    <n v="2.7300000000000001E-2"/>
    <n v="16885419"/>
    <n v="3608308"/>
    <n v="317990000"/>
    <n v="5.46666666666667E-3"/>
    <n v="5.1679158960381576E-2"/>
    <n v="5.4518381597864034E-2"/>
    <n v="5.2820614864192608E-2"/>
    <n v="2.693851358073901E-4"/>
    <x v="2"/>
    <x v="1"/>
    <x v="1"/>
    <x v="0"/>
  </r>
  <r>
    <x v="118"/>
    <x v="118"/>
    <n v="99.52"/>
    <n v="2.3E-3"/>
    <n v="4.1999999999999997E-3"/>
    <n v="8.0999999999999996E-3"/>
    <n v="16877556"/>
    <n v="1903788"/>
    <n v="169580"/>
    <n v="3.5999999999999999E-3"/>
    <n v="98.72036504315048"/>
    <n v="99.939746937135965"/>
    <n v="99.291629252718749"/>
    <n v="0.22837074728124662"/>
    <x v="0"/>
    <x v="0"/>
    <x v="0"/>
    <x v="1"/>
  </r>
  <r>
    <x v="119"/>
    <x v="119"/>
    <n v="1.3050000000000001E-2"/>
    <n v="6.9999999999999999E-4"/>
    <n v="7.3599999999999999E-2"/>
    <n v="3.3599999999999998E-2"/>
    <n v="13962917"/>
    <n v="2153906"/>
    <n v="1060000000"/>
    <n v="-1.26333333333333E-2"/>
    <n v="1.262577399380805E-2"/>
    <n v="1.4086787564766841E-2"/>
    <n v="1.3040871390026984E-2"/>
    <n v="9.1286099730171488E-6"/>
    <x v="4"/>
    <x v="1"/>
    <x v="1"/>
    <x v="1"/>
  </r>
  <r>
    <x v="120"/>
    <x v="120"/>
    <n v="3.7550000000000001E-3"/>
    <n v="5.1000000000000004E-3"/>
    <n v="1.8700000000000001E-2"/>
    <n v="4.41E-2"/>
    <n v="13943710"/>
    <n v="1560282"/>
    <n v="3710000000"/>
    <n v="1.3566666666666701E-2"/>
    <n v="3.5963988123742935E-3"/>
    <n v="3.8265566085804547E-3"/>
    <n v="3.7359466719729378E-3"/>
    <n v="1.9053328027062322E-5"/>
    <x v="4"/>
    <x v="1"/>
    <x v="1"/>
    <x v="0"/>
  </r>
  <r>
    <x v="121"/>
    <x v="121"/>
    <n v="0.1585"/>
    <n v="4.4999999999999997E-3"/>
    <n v="1.2699999999999999E-2"/>
    <n v="2.5000000000000001E-2"/>
    <n v="13937700"/>
    <n v="6689520"/>
    <n v="87910000"/>
    <n v="8.6E-3"/>
    <n v="0.15463414634146344"/>
    <n v="0.16053884331003748"/>
    <n v="0.15778994524639126"/>
    <n v="7.1005475360874648E-4"/>
    <x v="2"/>
    <x v="1"/>
    <x v="1"/>
    <x v="1"/>
  </r>
  <r>
    <x v="122"/>
    <x v="122"/>
    <n v="2.1069999999999998E-2"/>
    <n v="1.6000000000000001E-3"/>
    <n v="4.8999999999999998E-3"/>
    <n v="5.0200000000000002E-2"/>
    <n v="13929017"/>
    <n v="7452306"/>
    <n v="661070000"/>
    <n v="1.67E-2"/>
    <n v="2.0062845172348121E-2"/>
    <n v="2.1173751381770675E-2"/>
    <n v="2.1036341853035143E-2"/>
    <n v="3.3658146964855862E-5"/>
    <x v="4"/>
    <x v="1"/>
    <x v="1"/>
    <x v="0"/>
  </r>
  <r>
    <x v="123"/>
    <x v="123"/>
    <n v="3.02"/>
    <n v="1.6000000000000001E-3"/>
    <n v="3.8999999999999998E-3"/>
    <n v="9.8000000000000004E-2"/>
    <n v="13892495"/>
    <n v="7798028"/>
    <n v="4580000"/>
    <n v="3.29666666666667E-2"/>
    <n v="2.7504553734061927"/>
    <n v="3.0318241140447748"/>
    <n v="3.0151757188498403"/>
    <n v="4.8242811501597593E-3"/>
    <x v="1"/>
    <x v="1"/>
    <x v="1"/>
    <x v="0"/>
  </r>
  <r>
    <x v="124"/>
    <x v="124"/>
    <n v="0.107"/>
    <n v="1E-3"/>
    <n v="0.16650000000000001"/>
    <n v="9.2499999999999999E-2"/>
    <n v="13873324"/>
    <n v="734731"/>
    <n v="129550000.00000001"/>
    <n v="-2.36666666666667E-2"/>
    <n v="9.7940503432494275E-2"/>
    <n v="0.12837432513497299"/>
    <n v="0.10689310689310691"/>
    <n v="1.068931068930884E-4"/>
    <x v="2"/>
    <x v="1"/>
    <x v="1"/>
    <x v="1"/>
  </r>
  <r>
    <x v="125"/>
    <x v="125"/>
    <n v="0.79149999999999998"/>
    <n v="6.9999999999999999E-4"/>
    <n v="2.2000000000000001E-3"/>
    <n v="3.3999999999999998E-3"/>
    <n v="13837946"/>
    <n v="289052"/>
    <n v="17480000"/>
    <n v="1.1000000000000001E-3"/>
    <n v="0.78881801873629653"/>
    <n v="0.79324513930647422"/>
    <n v="0.79094633756370547"/>
    <n v="5.5366243629451084E-4"/>
    <x v="1"/>
    <x v="1"/>
    <x v="1"/>
    <x v="1"/>
  </r>
  <r>
    <x v="126"/>
    <x v="126"/>
    <n v="1.3809999999999999E-2"/>
    <n v="1.03E-2"/>
    <n v="4.4699999999999997E-2"/>
    <n v="0.29060000000000002"/>
    <n v="13817935"/>
    <n v="1290562"/>
    <n v="1000000000"/>
    <n v="9.2266666666666705E-2"/>
    <n v="1.0700449403378274E-2"/>
    <n v="1.4456191772218151E-2"/>
    <n v="1.366920716618826E-2"/>
    <n v="1.407928338117391E-4"/>
    <x v="4"/>
    <x v="1"/>
    <x v="1"/>
    <x v="1"/>
  </r>
  <r>
    <x v="127"/>
    <x v="127"/>
    <n v="409.71"/>
    <n v="1.5E-3"/>
    <n v="1.7299999999999999E-2"/>
    <n v="1.7399999999999999E-2"/>
    <n v="13816136"/>
    <n v="4386"/>
    <n v="33720"/>
    <n v="1.5333333333333299E-3"/>
    <n v="402.7029683506978"/>
    <n v="416.92276381398187"/>
    <n v="409.09635546679976"/>
    <n v="0.61364453320021539"/>
    <x v="0"/>
    <x v="0"/>
    <x v="0"/>
    <x v="1"/>
  </r>
  <r>
    <x v="128"/>
    <x v="128"/>
    <n v="0.14149999999999999"/>
    <n v="2.8999999999999998E-3"/>
    <n v="9.2200000000000004E-2"/>
    <n v="3.4599999999999999E-2"/>
    <n v="13804464"/>
    <n v="581043"/>
    <n v="97490000"/>
    <n v="-1.6299999999999999E-2"/>
    <n v="0.13676783297892905"/>
    <n v="0.15587133729896452"/>
    <n v="0.14109083657393559"/>
    <n v="4.0916342606439615E-4"/>
    <x v="2"/>
    <x v="1"/>
    <x v="1"/>
    <x v="0"/>
  </r>
  <r>
    <x v="129"/>
    <x v="129"/>
    <n v="2.0820000000000001E-3"/>
    <n v="2.5000000000000001E-3"/>
    <n v="2.2800000000000001E-2"/>
    <n v="0.14480000000000001"/>
    <n v="13777596"/>
    <n v="8894"/>
    <n v="6610000000"/>
    <n v="4.31666666666667E-2"/>
    <n v="1.8186582809224319E-3"/>
    <n v="2.1305771592304546E-3"/>
    <n v="2.0768079800498754E-3"/>
    <n v="5.192019950124669E-6"/>
    <x v="4"/>
    <x v="1"/>
    <x v="1"/>
    <x v="0"/>
  </r>
  <r>
    <x v="130"/>
    <x v="130"/>
    <n v="414.77"/>
    <n v="1.1000000000000001E-3"/>
    <n v="1.41E-2"/>
    <n v="6.4999999999999997E-3"/>
    <n v="13764557"/>
    <n v="2178974"/>
    <n v="33180"/>
    <n v="-1.4333333333333301E-3"/>
    <n v="412.09140586189767"/>
    <n v="420.7018967440917"/>
    <n v="414.31425432024764"/>
    <n v="0.45574567975234004"/>
    <x v="0"/>
    <x v="0"/>
    <x v="0"/>
    <x v="1"/>
  </r>
  <r>
    <x v="131"/>
    <x v="131"/>
    <n v="0.748"/>
    <n v="4.5999999999999999E-3"/>
    <n v="5.5100000000000003E-2"/>
    <n v="0.10929999999999999"/>
    <n v="13693981"/>
    <n v="306852"/>
    <n v="18300000"/>
    <n v="2.26666666666667E-2"/>
    <n v="0.67429910754529887"/>
    <n v="0.79161816065192092"/>
    <n v="0.74457495520605221"/>
    <n v="3.4250447939477846E-3"/>
    <x v="1"/>
    <x v="1"/>
    <x v="1"/>
    <x v="1"/>
  </r>
  <r>
    <x v="132"/>
    <x v="132"/>
    <n v="7.3580000000000007E-2"/>
    <n v="1.6000000000000001E-3"/>
    <n v="1.2999999999999999E-2"/>
    <n v="1.9400000000000001E-2"/>
    <n v="13681580"/>
    <n v="13259161"/>
    <n v="185920000"/>
    <n v="3.7333333333333298E-3"/>
    <n v="7.2179713556994304E-2"/>
    <n v="7.4549138804457959E-2"/>
    <n v="7.3462460063897769E-2"/>
    <n v="1.1753993610223723E-4"/>
    <x v="2"/>
    <x v="1"/>
    <x v="1"/>
    <x v="1"/>
  </r>
  <r>
    <x v="133"/>
    <x v="133"/>
    <n v="1.261E-3"/>
    <n v="5.8999999999999999E-3"/>
    <n v="0.1014"/>
    <n v="7.6899999999999996E-2"/>
    <n v="13634000"/>
    <n v="4857191"/>
    <n v="10800000000"/>
    <n v="-2.2666666666666699E-3"/>
    <n v="1.1709536632927848E-3"/>
    <n v="1.4032940129089695E-3"/>
    <n v="1.2536037379461179E-3"/>
    <n v="7.3962620538820748E-6"/>
    <x v="4"/>
    <x v="1"/>
    <x v="1"/>
    <x v="1"/>
  </r>
  <r>
    <x v="134"/>
    <x v="134"/>
    <n v="1.155E-2"/>
    <n v="7.1000000000000004E-3"/>
    <n v="1.0999999999999999E-2"/>
    <n v="5.96E-2"/>
    <n v="10933791"/>
    <n v="744515"/>
    <n v="946590000"/>
    <n v="2.3300000000000001E-2"/>
    <n v="1.0900339750849376E-2"/>
    <n v="1.1678463094034378E-2"/>
    <n v="1.1468573130771521E-2"/>
    <n v="8.1426869228478152E-5"/>
    <x v="4"/>
    <x v="1"/>
    <x v="1"/>
    <x v="0"/>
  </r>
  <r>
    <x v="135"/>
    <x v="135"/>
    <n v="3.627E-3"/>
    <n v="2.0999999999999999E-3"/>
    <n v="2.3099999999999999E-2"/>
    <n v="3.73E-2"/>
    <n v="10883235"/>
    <n v="918848"/>
    <n v="3000000000"/>
    <n v="6.8333333333333302E-3"/>
    <n v="3.4965776535235706E-3"/>
    <n v="3.7127648684614598E-3"/>
    <n v="3.6193992615507434E-3"/>
    <n v="7.6007384492565722E-6"/>
    <x v="4"/>
    <x v="1"/>
    <x v="1"/>
    <x v="0"/>
  </r>
  <r>
    <x v="136"/>
    <x v="136"/>
    <n v="2.12E-2"/>
    <n v="2.0000000000000001E-4"/>
    <n v="1.18E-2"/>
    <n v="9.4000000000000004E-3"/>
    <n v="10881360"/>
    <n v="1083764"/>
    <n v="513039999.99999994"/>
    <n v="-5.9999999999999995E-4"/>
    <n v="2.1002575787596591E-2"/>
    <n v="2.1453147136207246E-2"/>
    <n v="2.1195760847830435E-2"/>
    <n v="4.2391521695647749E-6"/>
    <x v="4"/>
    <x v="1"/>
    <x v="1"/>
    <x v="0"/>
  </r>
  <r>
    <x v="137"/>
    <x v="137"/>
    <n v="0.12570000000000001"/>
    <n v="1.9E-3"/>
    <n v="7.0900000000000005E-2"/>
    <n v="0.01"/>
    <n v="10810374"/>
    <n v="196226"/>
    <n v="85940000"/>
    <n v="-1.84E-2"/>
    <n v="0.12445544554455445"/>
    <n v="0.13529221827575072"/>
    <n v="0.12546162291645874"/>
    <n v="2.3837708354126907E-4"/>
    <x v="2"/>
    <x v="1"/>
    <x v="1"/>
    <x v="1"/>
  </r>
  <r>
    <x v="138"/>
    <x v="138"/>
    <n v="1.6780000000000001E-4"/>
    <n v="2.5999999999999999E-3"/>
    <n v="8.0999999999999996E-3"/>
    <n v="4.0899999999999999E-2"/>
    <n v="10803730"/>
    <n v="2826196"/>
    <n v="64370000000.000008"/>
    <n v="1.35333333333333E-2"/>
    <n v="1.6120664809299648E-4"/>
    <n v="1.691702792620224E-4"/>
    <n v="1.6736485138639539E-4"/>
    <n v="4.3514861360462263E-7"/>
    <x v="4"/>
    <x v="1"/>
    <x v="1"/>
    <x v="1"/>
  </r>
  <r>
    <x v="139"/>
    <x v="139"/>
    <n v="0.74429999999999996"/>
    <n v="7.1999999999999998E-3"/>
    <n v="1.24E-2"/>
    <n v="4.58E-2"/>
    <n v="10766565"/>
    <n v="2904179"/>
    <n v="14460000"/>
    <n v="1.8333333333333299E-2"/>
    <n v="0.71170395869191039"/>
    <n v="0.75364520048602668"/>
    <n v="0.73897934868943593"/>
    <n v="5.3206513105640285E-3"/>
    <x v="1"/>
    <x v="1"/>
    <x v="1"/>
    <x v="1"/>
  </r>
  <r>
    <x v="140"/>
    <x v="140"/>
    <n v="1.5499999999999999E-3"/>
    <n v="5.9999999999999995E-4"/>
    <n v="6.1999999999999998E-3"/>
    <n v="3.5400000000000001E-2"/>
    <n v="10764308"/>
    <n v="238007"/>
    <n v="6940000000"/>
    <n v="1.03333333333333E-2"/>
    <n v="1.497005988023952E-3"/>
    <n v="1.5596699537130207E-3"/>
    <n v="1.5490705576654009E-3"/>
    <n v="9.2944233459906107E-7"/>
    <x v="4"/>
    <x v="1"/>
    <x v="1"/>
    <x v="1"/>
  </r>
  <r>
    <x v="141"/>
    <x v="141"/>
    <n v="1.2099999999999999E-3"/>
    <n v="8.6E-3"/>
    <n v="8.6E-3"/>
    <n v="1.5100000000000001E-2"/>
    <n v="10745971"/>
    <n v="301025"/>
    <n v="8880000000"/>
    <n v="1.07666666666667E-2"/>
    <n v="1.1920007880996946E-3"/>
    <n v="1.2204962679039741E-3"/>
    <n v="1.1996827285346023E-3"/>
    <n v="1.0317271465397609E-5"/>
    <x v="4"/>
    <x v="1"/>
    <x v="1"/>
    <x v="1"/>
  </r>
  <r>
    <x v="142"/>
    <x v="142"/>
    <n v="3.0419999999999999E-2"/>
    <n v="0"/>
    <n v="4.7999999999999996E-3"/>
    <n v="4.7899999999999998E-2"/>
    <n v="10649702"/>
    <n v="1139607"/>
    <n v="349990000"/>
    <n v="1.4366666666666699E-2"/>
    <n v="2.9029487546521612E-2"/>
    <n v="3.0566720257234725E-2"/>
    <n v="3.0419999999999999E-2"/>
    <n v="0"/>
    <x v="4"/>
    <x v="1"/>
    <x v="1"/>
    <x v="0"/>
  </r>
  <r>
    <x v="143"/>
    <x v="143"/>
    <n v="1.6329999999999999E-3"/>
    <n v="2.9999999999999997E-4"/>
    <n v="2.5499999999999998E-2"/>
    <n v="5.7999999999999996E-3"/>
    <n v="10616425"/>
    <n v="4200231"/>
    <n v="6490000000"/>
    <n v="-6.2666666666666704E-3"/>
    <n v="1.6235832173394312E-3"/>
    <n v="1.6757311441765006E-3"/>
    <n v="1.6325102469259222E-3"/>
    <n v="4.8975307407770827E-7"/>
    <x v="4"/>
    <x v="1"/>
    <x v="1"/>
    <x v="0"/>
  </r>
  <r>
    <x v="144"/>
    <x v="144"/>
    <n v="153.25"/>
    <n v="0"/>
    <n v="1.4999999999999999E-2"/>
    <n v="1.5900000000000001E-2"/>
    <n v="10558503"/>
    <n v="421"/>
    <n v="68890"/>
    <n v="2.9999999999999997E-4"/>
    <n v="150.85146175804704"/>
    <n v="155.58375634517768"/>
    <n v="153.25"/>
    <n v="0"/>
    <x v="0"/>
    <x v="0"/>
    <x v="0"/>
    <x v="1"/>
  </r>
  <r>
    <x v="145"/>
    <x v="145"/>
    <n v="7.6190000000000003E-4"/>
    <n v="4.0000000000000001E-3"/>
    <n v="9.0899999999999995E-2"/>
    <n v="0.11899999999999999"/>
    <n v="10549348"/>
    <n v="100545"/>
    <n v="13840000000"/>
    <n v="1.33666666666667E-2"/>
    <n v="6.8087578194816806E-4"/>
    <n v="8.3808161918380814E-4"/>
    <n v="7.5886454183266938E-4"/>
    <n v="3.0354581673306541E-6"/>
    <x v="4"/>
    <x v="1"/>
    <x v="1"/>
    <x v="1"/>
  </r>
  <r>
    <x v="146"/>
    <x v="146"/>
    <n v="1.4630000000000001E-2"/>
    <n v="5.7000000000000002E-3"/>
    <n v="3.5200000000000002E-2"/>
    <n v="0.14280000000000001"/>
    <n v="10541204"/>
    <n v="5209345"/>
    <n v="720420000"/>
    <n v="4.1566666666666703E-2"/>
    <n v="1.2801890094504725E-2"/>
    <n v="1.5163764510779438E-2"/>
    <n v="1.454708163468231E-2"/>
    <n v="8.2918365317690562E-5"/>
    <x v="4"/>
    <x v="1"/>
    <x v="1"/>
    <x v="1"/>
  </r>
  <r>
    <x v="147"/>
    <x v="147"/>
    <n v="6.0819999999999999E-2"/>
    <n v="4.0000000000000001E-3"/>
    <n v="2.6499999999999999E-2"/>
    <n v="4.9700000000000001E-2"/>
    <n v="8567380"/>
    <n v="1843046"/>
    <n v="140840000"/>
    <n v="1.1733333333333301E-2"/>
    <n v="5.7940363913499091E-2"/>
    <n v="6.2475603492552642E-2"/>
    <n v="6.0577689243027887E-2"/>
    <n v="2.4231075697211252E-4"/>
    <x v="2"/>
    <x v="1"/>
    <x v="1"/>
    <x v="1"/>
  </r>
  <r>
    <x v="148"/>
    <x v="148"/>
    <n v="8.5640000000000004E-3"/>
    <n v="5.2699999999999997E-2"/>
    <n v="0.23119999999999999"/>
    <n v="0.92779999999999996"/>
    <n v="8564809"/>
    <n v="16521630"/>
    <n v="999990000"/>
    <n v="0.28489999999999999"/>
    <n v="4.4423695404087566E-3"/>
    <n v="1.1139438085327783E-2"/>
    <n v="8.1352712073715222E-3"/>
    <n v="4.2872879262847823E-4"/>
    <x v="4"/>
    <x v="1"/>
    <x v="1"/>
    <x v="0"/>
  </r>
  <r>
    <x v="149"/>
    <x v="149"/>
    <n v="9.5029999999999993E-3"/>
    <n v="8.0000000000000004E-4"/>
    <n v="3.56E-2"/>
    <n v="2.41E-2"/>
    <n v="8553353"/>
    <n v="436488"/>
    <n v="899980000"/>
    <n v="-3.0333333333333302E-3"/>
    <n v="9.2793672492920611E-3"/>
    <n v="9.8537951057652423E-3"/>
    <n v="9.4954036770583533E-3"/>
    <n v="7.596322941645986E-6"/>
    <x v="4"/>
    <x v="1"/>
    <x v="1"/>
    <x v="1"/>
  </r>
  <r>
    <x v="150"/>
    <x v="150"/>
    <n v="4.015E-4"/>
    <n v="1.2500000000000001E-2"/>
    <n v="1.7000000000000001E-2"/>
    <n v="3.5000000000000003E-2"/>
    <n v="8513431"/>
    <n v="30332"/>
    <n v="21200000000"/>
    <n v="1.8499999999999999E-2"/>
    <n v="3.8792270531400969E-4"/>
    <n v="4.0844354018311295E-4"/>
    <n v="3.9654320987654324E-4"/>
    <n v="4.9567901234567587E-6"/>
    <x v="4"/>
    <x v="1"/>
    <x v="1"/>
    <x v="0"/>
  </r>
  <r>
    <x v="151"/>
    <x v="151"/>
    <n v="5.8549999999999998E-2"/>
    <n v="1E-4"/>
    <n v="0.184"/>
    <n v="0.31509999999999999"/>
    <n v="8490542"/>
    <n v="552419"/>
    <n v="145000000"/>
    <n v="4.3799999999999999E-2"/>
    <n v="4.4521329176488482E-2"/>
    <n v="7.1752450980392152E-2"/>
    <n v="5.8544145585441451E-2"/>
    <n v="5.8544145585467944E-6"/>
    <x v="2"/>
    <x v="1"/>
    <x v="1"/>
    <x v="1"/>
  </r>
  <r>
    <x v="152"/>
    <x v="152"/>
    <n v="3.0099999999999998E-2"/>
    <n v="3.8E-3"/>
    <n v="2.98E-2"/>
    <n v="0.1406"/>
    <n v="8468294"/>
    <n v="27509"/>
    <n v="281300000"/>
    <n v="4.0733333333333302E-2"/>
    <n v="2.6389619498509553E-2"/>
    <n v="3.1024531024531024E-2"/>
    <n v="2.9986052998605298E-2"/>
    <n v="1.1394700139469999E-4"/>
    <x v="4"/>
    <x v="1"/>
    <x v="1"/>
    <x v="1"/>
  </r>
  <r>
    <x v="153"/>
    <x v="153"/>
    <n v="2.8219999999999999E-2"/>
    <n v="2.8E-3"/>
    <n v="1.6299999999999999E-2"/>
    <n v="4.0899999999999999E-2"/>
    <n v="8423430"/>
    <n v="1240646"/>
    <n v="298480000"/>
    <n v="1.0999999999999999E-2"/>
    <n v="2.7111153809203575E-2"/>
    <n v="2.8687608010572328E-2"/>
    <n v="2.8141204627044277E-2"/>
    <n v="7.8795372955721421E-5"/>
    <x v="4"/>
    <x v="1"/>
    <x v="1"/>
    <x v="0"/>
  </r>
  <r>
    <x v="154"/>
    <x v="154"/>
    <n v="0.78669999999999995"/>
    <n v="2.3E-3"/>
    <n v="2.35E-2"/>
    <n v="9.1999999999999998E-3"/>
    <n v="8370576"/>
    <n v="336678"/>
    <n v="10630000"/>
    <n v="-2.46666666666667E-3"/>
    <n v="0.77952833927863641"/>
    <n v="0.80563236047107012"/>
    <n v="0.78489474209318566"/>
    <n v="1.8052579068142949E-3"/>
    <x v="1"/>
    <x v="1"/>
    <x v="1"/>
    <x v="1"/>
  </r>
  <r>
    <x v="155"/>
    <x v="155"/>
    <n v="1.7930000000000001E-3"/>
    <n v="2.2000000000000001E-3"/>
    <n v="1.1900000000000001E-2"/>
    <n v="4.9399999999999999E-2"/>
    <n v="8340700"/>
    <n v="8463940"/>
    <n v="4640000000"/>
    <n v="1.47E-2"/>
    <n v="1.7085953878406711E-3"/>
    <n v="1.8145936646088454E-3"/>
    <n v="1.7890640590700461E-3"/>
    <n v="3.9359409299540103E-6"/>
    <x v="4"/>
    <x v="1"/>
    <x v="1"/>
    <x v="1"/>
  </r>
  <r>
    <x v="156"/>
    <x v="156"/>
    <n v="1.0030000000000001E-2"/>
    <n v="2.3999999999999998E-3"/>
    <n v="0.21529999999999999"/>
    <n v="0.16370000000000001"/>
    <n v="8262269"/>
    <n v="197592"/>
    <n v="823700000"/>
    <n v="-1.4800000000000001E-2"/>
    <n v="8.6190598951619846E-3"/>
    <n v="1.2781954887218047E-2"/>
    <n v="1.0005985634477256E-2"/>
    <n v="2.4014365522745038E-5"/>
    <x v="4"/>
    <x v="1"/>
    <x v="1"/>
    <x v="1"/>
  </r>
  <r>
    <x v="157"/>
    <x v="157"/>
    <n v="2.5219999999999999E-2"/>
    <n v="0.01"/>
    <n v="3.5425"/>
    <n v="7.0964"/>
    <n v="8255447"/>
    <n v="11295"/>
    <n v="327290000"/>
    <n v="1.1946333333333301"/>
    <n v="3.1149646756583175E-3"/>
    <n v="-9.9193706981317593E-3"/>
    <n v="2.4970297029702968E-2"/>
    <n v="2.4970297029703117E-4"/>
    <x v="4"/>
    <x v="1"/>
    <x v="1"/>
    <x v="1"/>
  </r>
  <r>
    <x v="158"/>
    <x v="158"/>
    <n v="8.1670000000000006E-3"/>
    <n v="1.24E-2"/>
    <n v="4.1399999999999999E-2"/>
    <n v="9.2499999999999999E-2"/>
    <n v="8167934"/>
    <n v="2920424"/>
    <n v="1000000000"/>
    <n v="2.9433333333333301E-2"/>
    <n v="7.4755148741418769E-3"/>
    <n v="8.5197162528687677E-3"/>
    <n v="8.066969577242197E-3"/>
    <n v="1.0003042275780367E-4"/>
    <x v="4"/>
    <x v="1"/>
    <x v="1"/>
    <x v="1"/>
  </r>
  <r>
    <x v="159"/>
    <x v="159"/>
    <n v="8.1740000000000007E-3"/>
    <n v="1.2999999999999999E-3"/>
    <n v="4.0000000000000001E-3"/>
    <n v="2.5999999999999999E-3"/>
    <n v="8169907"/>
    <n v="625712"/>
    <n v="999440000"/>
    <n v="8.3333333333333295E-4"/>
    <n v="8.1528027129463415E-3"/>
    <n v="8.2068273092369484E-3"/>
    <n v="8.1633875961250376E-3"/>
    <n v="1.0612403874963108E-5"/>
    <x v="4"/>
    <x v="1"/>
    <x v="1"/>
    <x v="1"/>
  </r>
  <r>
    <x v="160"/>
    <x v="160"/>
    <n v="0.4047"/>
    <n v="2.7000000000000001E-3"/>
    <n v="1.7500000000000002E-2"/>
    <n v="8.1799999999999998E-2"/>
    <n v="8152005"/>
    <n v="187733"/>
    <n v="20140000"/>
    <n v="2.4133333333333298E-2"/>
    <n v="0.37409872434830832"/>
    <n v="0.41190839694656489"/>
    <n v="0.40361025231873943"/>
    <n v="1.0897476812605777E-3"/>
    <x v="2"/>
    <x v="1"/>
    <x v="1"/>
    <x v="1"/>
  </r>
  <r>
    <x v="161"/>
    <x v="161"/>
    <n v="3.57"/>
    <n v="1.5E-3"/>
    <n v="3.0800000000000001E-2"/>
    <n v="1.01E-2"/>
    <n v="6792959"/>
    <n v="1016273"/>
    <n v="1900000"/>
    <n v="-5.4000000000000003E-3"/>
    <n v="3.5343035343035343"/>
    <n v="3.6834502682624843"/>
    <n v="3.5646530204692959"/>
    <n v="5.3469795307039547E-3"/>
    <x v="1"/>
    <x v="1"/>
    <x v="1"/>
    <x v="0"/>
  </r>
  <r>
    <x v="162"/>
    <x v="162"/>
    <n v="1.9789999999999999E-2"/>
    <n v="8.9999999999999998E-4"/>
    <n v="3.1300000000000001E-2"/>
    <n v="3.1099999999999999E-2"/>
    <n v="6752114"/>
    <n v="179392"/>
    <n v="341170000"/>
    <n v="8.3333333333333198E-4"/>
    <n v="1.919309475317622E-2"/>
    <n v="2.0429441519562299E-2"/>
    <n v="1.9772205015486061E-2"/>
    <n v="1.7794984513937184E-5"/>
    <x v="4"/>
    <x v="1"/>
    <x v="1"/>
    <x v="1"/>
  </r>
  <r>
    <x v="163"/>
    <x v="163"/>
    <n v="7.5009999999999996E-4"/>
    <n v="5.9999999999999995E-4"/>
    <n v="4.9099999999999998E-2"/>
    <n v="5.0999999999999997E-2"/>
    <n v="6751392"/>
    <n v="1320118"/>
    <n v="8990000000"/>
    <n v="1.23333333333333E-3"/>
    <n v="7.137012369172217E-4"/>
    <n v="7.8883163318960983E-4"/>
    <n v="7.4965020987407562E-4"/>
    <n v="4.4979012592434586E-7"/>
    <x v="4"/>
    <x v="1"/>
    <x v="1"/>
    <x v="1"/>
  </r>
  <r>
    <x v="164"/>
    <x v="164"/>
    <n v="0.32069999999999999"/>
    <n v="2E-3"/>
    <n v="2.8E-3"/>
    <n v="8.14E-2"/>
    <n v="6735803"/>
    <n v="1461325"/>
    <n v="20990000"/>
    <n v="2.8199999999999999E-2"/>
    <n v="0.29656001479563532"/>
    <n v="0.32160048134777375"/>
    <n v="0.32005988023952092"/>
    <n v="6.4011976047906316E-4"/>
    <x v="2"/>
    <x v="1"/>
    <x v="1"/>
    <x v="0"/>
  </r>
  <r>
    <x v="165"/>
    <x v="165"/>
    <n v="2.3630000000000002E-2"/>
    <n v="4.7000000000000002E-3"/>
    <n v="3.1E-2"/>
    <n v="3.5200000000000002E-2"/>
    <n v="6703522"/>
    <n v="2668330"/>
    <n v="283580000"/>
    <n v="6.1000000000000004E-3"/>
    <n v="2.2826506955177746E-2"/>
    <n v="2.4385964912280705E-2"/>
    <n v="2.3519458544839261E-2"/>
    <n v="1.1054145516074115E-4"/>
    <x v="4"/>
    <x v="1"/>
    <x v="1"/>
    <x v="1"/>
  </r>
  <r>
    <x v="166"/>
    <x v="166"/>
    <n v="8.9084999999999998E-2"/>
    <n v="3.7000000000000002E-3"/>
    <n v="0.1361"/>
    <n v="0.1038"/>
    <n v="6671786"/>
    <n v="1690539"/>
    <n v="734360000000000"/>
    <n v="-7.0666666666666603E-3"/>
    <n v="8.0707555716615323E-2"/>
    <n v="0.10311957402477138"/>
    <n v="8.8756600577861902E-2"/>
    <n v="3.2839942213809536E-4"/>
    <x v="2"/>
    <x v="1"/>
    <x v="1"/>
    <x v="1"/>
  </r>
  <r>
    <x v="167"/>
    <x v="167"/>
    <n v="1.281E-3"/>
    <n v="1.6000000000000001E-3"/>
    <n v="4.3200000000000002E-2"/>
    <n v="1.8100000000000002E-2"/>
    <n v="6661357"/>
    <n v="2897840"/>
    <n v="5200000000"/>
    <n v="-6.76666666666667E-3"/>
    <n v="1.2582261074550634E-3"/>
    <n v="1.3388377926421406E-3"/>
    <n v="1.2789536741214056E-3"/>
    <n v="2.0463258785944141E-6"/>
    <x v="4"/>
    <x v="1"/>
    <x v="1"/>
    <x v="0"/>
  </r>
  <r>
    <x v="168"/>
    <x v="168"/>
    <n v="1.8370000000000001E-2"/>
    <n v="2.0999999999999999E-3"/>
    <n v="4.41E-2"/>
    <n v="1.72E-2"/>
    <n v="6651545"/>
    <n v="26096"/>
    <n v="362030000"/>
    <n v="-6.8666666666666702E-3"/>
    <n v="1.8059378686590639E-2"/>
    <n v="1.9217491369390105E-2"/>
    <n v="1.8331503841931943E-2"/>
    <n v="3.8496158068057618E-5"/>
    <x v="4"/>
    <x v="1"/>
    <x v="1"/>
    <x v="1"/>
  </r>
  <r>
    <x v="169"/>
    <x v="169"/>
    <n v="6.6299999999999996E-3"/>
    <n v="1.9E-3"/>
    <n v="1.9699999999999999E-2"/>
    <n v="1.66E-2"/>
    <n v="6630860"/>
    <n v="1970302"/>
    <n v="1000000000"/>
    <n v="8.6666666666666695E-4"/>
    <n v="6.5217391304347823E-3"/>
    <n v="6.7632357441599509E-3"/>
    <n v="6.6174268889110689E-3"/>
    <n v="1.2573111088930687E-5"/>
    <x v="4"/>
    <x v="1"/>
    <x v="1"/>
    <x v="0"/>
  </r>
  <r>
    <x v="170"/>
    <x v="170"/>
    <n v="6.6420000000000003E-3"/>
    <n v="2.3E-3"/>
    <n v="1.4E-2"/>
    <n v="8.0000000000000004E-4"/>
    <n v="6625739"/>
    <n v="4189943"/>
    <n v="997420000"/>
    <n v="-2.0999999999999999E-3"/>
    <n v="6.6366906474820157E-3"/>
    <n v="6.736308316430021E-3"/>
    <n v="6.6267584555522304E-3"/>
    <n v="1.5241544447769893E-5"/>
    <x v="4"/>
    <x v="1"/>
    <x v="1"/>
    <x v="1"/>
  </r>
  <r>
    <x v="171"/>
    <x v="171"/>
    <n v="1.555E-3"/>
    <n v="4.0000000000000002E-4"/>
    <n v="4.6899999999999997E-2"/>
    <n v="7.0000000000000001E-3"/>
    <n v="6622116"/>
    <n v="98061"/>
    <n v="4250000000"/>
    <n v="-1.29E-2"/>
    <n v="1.5441906653426019E-3"/>
    <n v="1.6315182037561641E-3"/>
    <n v="1.5543782487005197E-3"/>
    <n v="6.2175129948022212E-7"/>
    <x v="4"/>
    <x v="1"/>
    <x v="1"/>
    <x v="1"/>
  </r>
  <r>
    <x v="172"/>
    <x v="172"/>
    <n v="0.1024"/>
    <n v="8.9999999999999998E-4"/>
    <n v="1.9599999999999999E-2"/>
    <n v="9.0200000000000002E-2"/>
    <n v="6610295"/>
    <n v="117926"/>
    <n v="64510000.000000007"/>
    <n v="2.44333333333333E-2"/>
    <n v="9.3927719684461564E-2"/>
    <n v="0.10444716442268462"/>
    <n v="0.10230792286941753"/>
    <n v="9.2077130582471356E-5"/>
    <x v="2"/>
    <x v="1"/>
    <x v="1"/>
    <x v="1"/>
  </r>
  <r>
    <x v="173"/>
    <x v="173"/>
    <n v="0.56610000000000005"/>
    <n v="3.3999999999999998E-3"/>
    <n v="1.6E-2"/>
    <n v="5.6399999999999999E-2"/>
    <n v="6589175"/>
    <n v="4497515"/>
    <n v="11630000"/>
    <n v="1.68666666666667E-2"/>
    <n v="0.53587656190836808"/>
    <n v="0.5753048780487805"/>
    <n v="0.56418178194139923"/>
    <n v="1.918218058600818E-3"/>
    <x v="1"/>
    <x v="1"/>
    <x v="1"/>
    <x v="0"/>
  </r>
  <r>
    <x v="174"/>
    <x v="174"/>
    <n v="1.5270000000000001E-2"/>
    <n v="5.1000000000000004E-3"/>
    <n v="1.7999999999999999E-2"/>
    <n v="5.6899999999999999E-2"/>
    <n v="6575076"/>
    <n v="71180"/>
    <n v="430440000"/>
    <n v="1.80666666666667E-2"/>
    <n v="1.4447913709906331E-2"/>
    <n v="1.5549898167006112E-2"/>
    <n v="1.5192518157397273E-2"/>
    <n v="7.7481842602727946E-5"/>
    <x v="4"/>
    <x v="1"/>
    <x v="1"/>
    <x v="1"/>
  </r>
  <r>
    <x v="175"/>
    <x v="175"/>
    <n v="0.1007"/>
    <n v="1.2999999999999999E-3"/>
    <n v="5.4999999999999997E-3"/>
    <n v="2.87E-2"/>
    <n v="6554877"/>
    <n v="15829"/>
    <n v="65050000"/>
    <n v="9.0333333333333307E-3"/>
    <n v="9.7890541460095265E-2"/>
    <n v="0.10125691302161889"/>
    <n v="0.10056925996204932"/>
    <n v="1.3074003795067457E-4"/>
    <x v="2"/>
    <x v="1"/>
    <x v="1"/>
    <x v="1"/>
  </r>
  <r>
    <x v="176"/>
    <x v="176"/>
    <n v="7.737E-3"/>
    <n v="2.0000000000000001E-4"/>
    <n v="2.2599999999999999E-2"/>
    <n v="2.2599999999999999E-2"/>
    <n v="5323479"/>
    <n v="60314"/>
    <n v="688000000"/>
    <n v="2.0000000000000001E-4"/>
    <n v="7.5660082143555645E-3"/>
    <n v="7.9158993247391025E-3"/>
    <n v="7.7354529094181166E-3"/>
    <n v="1.5470905818833203E-6"/>
    <x v="4"/>
    <x v="1"/>
    <x v="1"/>
    <x v="0"/>
  </r>
  <r>
    <x v="177"/>
    <x v="177"/>
    <n v="1.6740000000000001E-2"/>
    <n v="4.0000000000000001E-3"/>
    <n v="5.1999999999999998E-3"/>
    <n v="7.5899999999999995E-2"/>
    <n v="5321748"/>
    <n v="295258"/>
    <n v="317860000"/>
    <n v="2.7566666666666701E-2"/>
    <n v="1.5559066827772097E-2"/>
    <n v="1.6827503015681543E-2"/>
    <n v="1.6673306772908368E-2"/>
    <n v="6.6693227091633306E-5"/>
    <x v="4"/>
    <x v="1"/>
    <x v="1"/>
    <x v="0"/>
  </r>
  <r>
    <x v="178"/>
    <x v="178"/>
    <n v="6.981E-4"/>
    <n v="6.8999999999999999E-3"/>
    <n v="3.2500000000000001E-2"/>
    <n v="2.2499999999999999E-2"/>
    <n v="5293440"/>
    <n v="7067200"/>
    <n v="7580000000"/>
    <n v="3.5666666666666698E-3"/>
    <n v="6.8273838630806844E-4"/>
    <n v="7.2155038759689919E-4"/>
    <n v="6.9331611878041522E-4"/>
    <n v="4.783881219584782E-6"/>
    <x v="4"/>
    <x v="1"/>
    <x v="1"/>
    <x v="1"/>
  </r>
  <r>
    <x v="179"/>
    <x v="179"/>
    <n v="0.30769999999999997"/>
    <n v="5.0000000000000001E-4"/>
    <n v="0.27739999999999998"/>
    <n v="0.11310000000000001"/>
    <n v="5275489"/>
    <n v="6"/>
    <n v="17140000"/>
    <n v="-5.4266666666666699E-2"/>
    <n v="0.27643518102596348"/>
    <n v="0.42582341544422914"/>
    <n v="0.3075462268865567"/>
    <n v="1.5377311344327849E-4"/>
    <x v="2"/>
    <x v="1"/>
    <x v="1"/>
    <x v="1"/>
  </r>
  <r>
    <x v="180"/>
    <x v="180"/>
    <n v="1.29"/>
    <n v="8.9999999999999998E-4"/>
    <n v="2.5999999999999999E-3"/>
    <n v="1.2999999999999999E-3"/>
    <n v="5265944"/>
    <n v="240384"/>
    <n v="4059999.9999999995"/>
    <n v="4.6666666666666699E-4"/>
    <n v="1.2883251772695494"/>
    <n v="1.2933627431321437"/>
    <n v="1.2888400439604357"/>
    <n v="1.1599560395643138E-3"/>
    <x v="1"/>
    <x v="1"/>
    <x v="1"/>
    <x v="1"/>
  </r>
  <r>
    <x v="181"/>
    <x v="181"/>
    <n v="7.7952999999999995E-2"/>
    <n v="4.1999999999999997E-3"/>
    <n v="5.5300000000000002E-2"/>
    <n v="1.84E-2"/>
    <n v="5260211"/>
    <n v="426256"/>
    <n v="66129999999999.992"/>
    <n v="-8.0999999999999996E-3"/>
    <n v="7.654457973291437E-2"/>
    <n v="8.2516142690801306E-2"/>
    <n v="7.7626966739693284E-2"/>
    <n v="3.2603326030671009E-4"/>
    <x v="2"/>
    <x v="1"/>
    <x v="1"/>
    <x v="0"/>
  </r>
  <r>
    <x v="182"/>
    <x v="182"/>
    <n v="1.0169999999999999E-3"/>
    <n v="5.4000000000000003E-3"/>
    <n v="2.0999999999999999E-3"/>
    <n v="7.2900000000000006E-2"/>
    <n v="5234195"/>
    <n v="58576"/>
    <n v="5140000000"/>
    <n v="2.9000000000000001E-2"/>
    <n v="9.4789821977817122E-4"/>
    <n v="1.0191401944082573E-3"/>
    <n v="1.011537696439228E-3"/>
    <n v="5.4623035607719202E-6"/>
    <x v="4"/>
    <x v="1"/>
    <x v="1"/>
    <x v="1"/>
  </r>
  <r>
    <x v="183"/>
    <x v="183"/>
    <n v="9.9390000000000006E-2"/>
    <n v="4.0000000000000002E-4"/>
    <n v="1.8700000000000001E-2"/>
    <n v="1.9800000000000002E-2"/>
    <n v="5228456"/>
    <n v="321308"/>
    <n v="52600000"/>
    <n v="7.6666666666666702E-4"/>
    <n v="9.7460286330653068E-2"/>
    <n v="0.10128401100580864"/>
    <n v="9.9350259896041598E-2"/>
    <n v="3.9740103958407769E-5"/>
    <x v="2"/>
    <x v="1"/>
    <x v="1"/>
    <x v="1"/>
  </r>
  <r>
    <x v="184"/>
    <x v="184"/>
    <n v="8.1610000000000005E-4"/>
    <n v="5.0000000000000001E-3"/>
    <n v="1.2699999999999999E-2"/>
    <n v="3.4500000000000003E-2"/>
    <n v="5219890"/>
    <n v="414253"/>
    <n v="6390000000"/>
    <n v="1.22666666666667E-2"/>
    <n v="7.8888351860802327E-4"/>
    <n v="8.2659779195786494E-4"/>
    <n v="8.1203980099502505E-4"/>
    <n v="4.060199004975E-6"/>
    <x v="4"/>
    <x v="1"/>
    <x v="1"/>
    <x v="0"/>
  </r>
  <r>
    <x v="185"/>
    <x v="185"/>
    <n v="1.575E-2"/>
    <n v="8.5000000000000006E-3"/>
    <n v="1.43E-2"/>
    <n v="7.1300000000000002E-2"/>
    <n v="5213015"/>
    <n v="120437"/>
    <n v="330910000"/>
    <n v="2.75E-2"/>
    <n v="1.4701764211705406E-2"/>
    <n v="1.5978492441919449E-2"/>
    <n v="1.561725334655429E-2"/>
    <n v="1.3274665344571029E-4"/>
    <x v="4"/>
    <x v="1"/>
    <x v="1"/>
    <x v="1"/>
  </r>
  <r>
    <x v="186"/>
    <x v="186"/>
    <n v="7.0089999999999996E-3"/>
    <n v="2.52E-2"/>
    <n v="6.6699999999999995E-2"/>
    <n v="7.0900000000000005E-2"/>
    <n v="5211964"/>
    <n v="3384918"/>
    <n v="743510000"/>
    <n v="2.6599999999999999E-2"/>
    <n v="6.5449621813427955E-3"/>
    <n v="7.5099110682524369E-3"/>
    <n v="6.8367147873585644E-3"/>
    <n v="1.7228521264143516E-4"/>
    <x v="4"/>
    <x v="1"/>
    <x v="1"/>
    <x v="0"/>
  </r>
  <r>
    <x v="187"/>
    <x v="187"/>
    <n v="4.7770000000000001E-4"/>
    <n v="6.4999999999999997E-3"/>
    <n v="1.6500000000000001E-2"/>
    <n v="5.3199999999999997E-2"/>
    <n v="5206650"/>
    <n v="1518"/>
    <n v="10890000000"/>
    <n v="1.87333333333333E-2"/>
    <n v="4.535700721610331E-4"/>
    <n v="4.8571428571428572E-4"/>
    <n v="4.7461500248385498E-4"/>
    <n v="3.084997516145029E-6"/>
    <x v="4"/>
    <x v="1"/>
    <x v="1"/>
    <x v="1"/>
  </r>
  <r>
    <x v="188"/>
    <x v="188"/>
    <n v="5.2139999999999999E-3"/>
    <n v="6.3E-3"/>
    <n v="6.8599999999999994E-2"/>
    <n v="4.0599999999999997E-2"/>
    <n v="5161933"/>
    <n v="1414755"/>
    <n v="990000000"/>
    <n v="-3.0333333333333302E-3"/>
    <n v="5.0105708245243132E-3"/>
    <n v="5.598024479278505E-3"/>
    <n v="5.1813574480771146E-3"/>
    <n v="3.264255192288526E-5"/>
    <x v="4"/>
    <x v="1"/>
    <x v="1"/>
    <x v="0"/>
  </r>
  <r>
    <x v="189"/>
    <x v="189"/>
    <n v="6.4660000000000004E-3"/>
    <n v="2.0000000000000001E-4"/>
    <n v="7.7399999999999997E-2"/>
    <n v="0.3866"/>
    <n v="5139072"/>
    <n v="483800"/>
    <n v="794690000"/>
    <n v="0.10326666666666701"/>
    <n v="4.6632049617770085E-3"/>
    <n v="7.0084543680901806E-3"/>
    <n v="6.4647070585882828E-3"/>
    <n v="1.292941411717638E-6"/>
    <x v="4"/>
    <x v="1"/>
    <x v="1"/>
    <x v="1"/>
  </r>
  <r>
    <x v="190"/>
    <x v="190"/>
    <n v="0.21959999999999999"/>
    <n v="5.9999999999999995E-4"/>
    <n v="8.5699999999999998E-2"/>
    <n v="0.1575"/>
    <n v="4174057"/>
    <n v="308129"/>
    <n v="19000000"/>
    <n v="2.4533333333333299E-2"/>
    <n v="0.18971922246220302"/>
    <n v="0.2401837471289511"/>
    <n v="0.21946831900859484"/>
    <n v="1.3168099140514755E-4"/>
    <x v="2"/>
    <x v="1"/>
    <x v="1"/>
    <x v="1"/>
  </r>
  <r>
    <x v="191"/>
    <x v="191"/>
    <n v="4.2040000000000003E-3"/>
    <n v="1.2999999999999999E-3"/>
    <n v="5.11E-2"/>
    <n v="1.49E-2"/>
    <n v="4159448"/>
    <n v="372961"/>
    <n v="989390000"/>
    <n v="-1.07666666666667E-2"/>
    <n v="4.1422800275889259E-3"/>
    <n v="4.4303930867320056E-3"/>
    <n v="4.1985418955358036E-3"/>
    <n v="5.4581044641966933E-6"/>
    <x v="4"/>
    <x v="1"/>
    <x v="1"/>
    <x v="1"/>
  </r>
  <r>
    <x v="192"/>
    <x v="192"/>
    <n v="5.0369999999999998E-2"/>
    <n v="8.0000000000000004E-4"/>
    <n v="1E-4"/>
    <n v="2.3999999999999998E-3"/>
    <n v="4140016"/>
    <n v="397548"/>
    <n v="82180000"/>
    <n v="1.56666666666667E-3"/>
    <n v="5.0249401436552273E-2"/>
    <n v="5.0375037503750372E-2"/>
    <n v="5.0329736211031179E-2"/>
    <n v="4.0263788968819547E-5"/>
    <x v="2"/>
    <x v="1"/>
    <x v="1"/>
    <x v="0"/>
  </r>
  <r>
    <x v="193"/>
    <x v="193"/>
    <n v="8.6629999999999997E-4"/>
    <n v="4.0000000000000001E-3"/>
    <n v="5.8200000000000002E-2"/>
    <n v="7.0999999999999994E-2"/>
    <n v="4136992"/>
    <n v="8380"/>
    <n v="4770000000"/>
    <n v="8.26666666666666E-3"/>
    <n v="8.0887021475256767E-4"/>
    <n v="9.1983435973667449E-4"/>
    <n v="8.6284860557768917E-4"/>
    <n v="3.4513944223108026E-6"/>
    <x v="4"/>
    <x v="1"/>
    <x v="1"/>
    <x v="1"/>
  </r>
  <r>
    <x v="194"/>
    <x v="194"/>
    <n v="9.9080000000000001E-2"/>
    <n v="5.4999999999999997E-3"/>
    <n v="5.0900000000000001E-2"/>
    <n v="1.7100000000000001E-2"/>
    <n v="4127533"/>
    <n v="8823286"/>
    <n v="41650000"/>
    <n v="-5.7666666666666699E-3"/>
    <n v="9.7414216891161157E-2"/>
    <n v="0.10439363607628278"/>
    <n v="9.8538040775733457E-2"/>
    <n v="5.4195922426654441E-4"/>
    <x v="2"/>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67BA4C-136A-4EEF-BD0B-995C150A785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3:D24" firstHeaderRow="1" firstDataRow="1" firstDataCol="0"/>
  <pivotFields count="18">
    <pivotField dataField="1" showAll="0"/>
    <pivotField showAll="0"/>
    <pivotField showAll="0"/>
    <pivotField showAll="0"/>
    <pivotField showAll="0"/>
    <pivotField showAll="0"/>
    <pivotField numFmtId="4" showAll="0"/>
    <pivotField numFmtId="4" showAll="0"/>
    <pivotField numFmtId="4" showAll="0"/>
    <pivotField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Items count="1">
    <i/>
  </rowItems>
  <colItems count="1">
    <i/>
  </colItems>
  <dataFields count="1">
    <dataField name="Count of Coin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6D6FF4-785C-4699-92DB-251A56FFC964}"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28" firstHeaderRow="0" firstDataRow="1" firstDataCol="1"/>
  <pivotFields count="18">
    <pivotField axis="axisRow" showAll="0">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dataField="1"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Fields count="2">
    <field x="0"/>
    <field x="1"/>
  </rowFields>
  <rowItems count="125">
    <i>
      <x v="2"/>
    </i>
    <i r="1">
      <x v="4"/>
    </i>
    <i>
      <x v="3"/>
    </i>
    <i r="1">
      <x v="53"/>
    </i>
    <i>
      <x v="5"/>
    </i>
    <i r="1">
      <x v="7"/>
    </i>
    <i>
      <x v="6"/>
    </i>
    <i r="1">
      <x v="113"/>
    </i>
    <i>
      <x v="12"/>
    </i>
    <i r="1">
      <x v="11"/>
    </i>
    <i>
      <x v="13"/>
    </i>
    <i r="1">
      <x v="13"/>
    </i>
    <i>
      <x v="14"/>
    </i>
    <i r="1">
      <x v="3"/>
    </i>
    <i>
      <x v="21"/>
    </i>
    <i r="1">
      <x v="20"/>
    </i>
    <i>
      <x v="23"/>
    </i>
    <i r="1">
      <x v="25"/>
    </i>
    <i>
      <x v="24"/>
    </i>
    <i r="1">
      <x v="23"/>
    </i>
    <i>
      <x v="28"/>
    </i>
    <i r="1">
      <x v="31"/>
    </i>
    <i>
      <x v="30"/>
    </i>
    <i r="1">
      <x v="26"/>
    </i>
    <i>
      <x v="33"/>
    </i>
    <i r="1">
      <x v="44"/>
    </i>
    <i>
      <x v="34"/>
    </i>
    <i r="1">
      <x v="36"/>
    </i>
    <i>
      <x v="35"/>
    </i>
    <i r="1">
      <x v="6"/>
    </i>
    <i>
      <x v="37"/>
    </i>
    <i r="1">
      <x v="160"/>
    </i>
    <i>
      <x v="38"/>
    </i>
    <i r="1">
      <x v="34"/>
    </i>
    <i>
      <x v="42"/>
    </i>
    <i r="1">
      <x v="38"/>
    </i>
    <i>
      <x v="47"/>
    </i>
    <i r="1">
      <x v="41"/>
    </i>
    <i>
      <x v="48"/>
    </i>
    <i r="1">
      <x v="49"/>
    </i>
    <i>
      <x v="50"/>
    </i>
    <i r="1">
      <x v="47"/>
    </i>
    <i>
      <x v="52"/>
    </i>
    <i r="1">
      <x v="50"/>
    </i>
    <i>
      <x v="54"/>
    </i>
    <i r="1">
      <x v="55"/>
    </i>
    <i>
      <x v="62"/>
    </i>
    <i r="1">
      <x v="57"/>
    </i>
    <i>
      <x v="68"/>
    </i>
    <i r="1">
      <x v="63"/>
    </i>
    <i>
      <x v="72"/>
    </i>
    <i r="1">
      <x v="77"/>
    </i>
    <i>
      <x v="76"/>
    </i>
    <i r="1">
      <x v="71"/>
    </i>
    <i>
      <x v="77"/>
    </i>
    <i r="1">
      <x v="141"/>
    </i>
    <i>
      <x v="82"/>
    </i>
    <i r="1">
      <x v="83"/>
    </i>
    <i>
      <x v="86"/>
    </i>
    <i r="1">
      <x v="86"/>
    </i>
    <i>
      <x v="87"/>
    </i>
    <i r="1">
      <x v="87"/>
    </i>
    <i>
      <x v="96"/>
    </i>
    <i r="1">
      <x v="94"/>
    </i>
    <i>
      <x v="98"/>
    </i>
    <i r="1">
      <x v="100"/>
    </i>
    <i>
      <x v="99"/>
    </i>
    <i r="1">
      <x v="99"/>
    </i>
    <i>
      <x v="100"/>
    </i>
    <i r="1">
      <x v="101"/>
    </i>
    <i>
      <x v="103"/>
    </i>
    <i r="1">
      <x v="102"/>
    </i>
    <i>
      <x v="109"/>
    </i>
    <i r="1">
      <x v="97"/>
    </i>
    <i>
      <x v="111"/>
    </i>
    <i r="1">
      <x v="110"/>
    </i>
    <i>
      <x v="120"/>
    </i>
    <i r="1">
      <x v="8"/>
    </i>
    <i>
      <x v="122"/>
    </i>
    <i r="1">
      <x v="121"/>
    </i>
    <i>
      <x v="130"/>
    </i>
    <i r="1">
      <x v="125"/>
    </i>
    <i>
      <x v="131"/>
    </i>
    <i r="1">
      <x v="126"/>
    </i>
    <i>
      <x v="137"/>
    </i>
    <i r="1">
      <x v="134"/>
    </i>
    <i>
      <x v="139"/>
    </i>
    <i r="1">
      <x v="137"/>
    </i>
    <i>
      <x v="142"/>
    </i>
    <i r="1">
      <x v="143"/>
    </i>
    <i>
      <x v="147"/>
    </i>
    <i r="1">
      <x v="146"/>
    </i>
    <i>
      <x v="148"/>
    </i>
    <i r="1">
      <x v="43"/>
    </i>
    <i>
      <x v="149"/>
    </i>
    <i r="1">
      <x v="148"/>
    </i>
    <i>
      <x v="150"/>
    </i>
    <i r="1">
      <x v="149"/>
    </i>
    <i>
      <x v="152"/>
    </i>
    <i r="1">
      <x v="152"/>
    </i>
    <i>
      <x v="154"/>
    </i>
    <i r="1">
      <x v="151"/>
    </i>
    <i>
      <x v="156"/>
    </i>
    <i r="1">
      <x v="155"/>
    </i>
    <i>
      <x v="158"/>
    </i>
    <i r="1">
      <x v="156"/>
    </i>
    <i>
      <x v="159"/>
    </i>
    <i r="1">
      <x v="147"/>
    </i>
    <i>
      <x v="162"/>
    </i>
    <i r="1">
      <x v="33"/>
    </i>
    <i>
      <x v="164"/>
    </i>
    <i r="1">
      <x v="159"/>
    </i>
    <i>
      <x v="170"/>
    </i>
    <i r="1">
      <x v="163"/>
    </i>
    <i>
      <x v="180"/>
    </i>
    <i r="1">
      <x v="173"/>
    </i>
    <i>
      <x v="184"/>
    </i>
    <i r="1">
      <x v="180"/>
    </i>
    <i>
      <x v="190"/>
    </i>
    <i r="1">
      <x v="190"/>
    </i>
    <i>
      <x v="191"/>
    </i>
    <i r="1">
      <x v="191"/>
    </i>
    <i>
      <x v="193"/>
    </i>
    <i r="1">
      <x v="192"/>
    </i>
    <i t="grand">
      <x/>
    </i>
  </rowItems>
  <colFields count="1">
    <field x="-2"/>
  </colFields>
  <colItems count="2">
    <i>
      <x/>
    </i>
    <i i="1">
      <x v="1"/>
    </i>
  </colItems>
  <dataFields count="2">
    <dataField name="Average of Average Downfall" fld="9" subtotal="average" baseField="0" baseItem="0" numFmtId="10"/>
    <dataField name="Average of Price (USD)" fld="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FF7160-BB09-4286-8D92-9AA7B484D118}"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F38:I49" firstHeaderRow="0" firstDataRow="1" firstDataCol="1"/>
  <pivotFields count="18">
    <pivotField axis="axisRow" showAll="0" measureFilter="1">
      <items count="196">
        <item sd="0" x="158"/>
        <item sd="0" x="97"/>
        <item sd="0" x="99"/>
        <item sd="0" x="52"/>
        <item sd="0" x="148"/>
        <item sd="0" x="71"/>
        <item sd="0" x="18"/>
        <item sd="0" x="143"/>
        <item sd="0" x="188"/>
        <item sd="0" x="176"/>
        <item sd="0" x="150"/>
        <item sd="0" x="108"/>
        <item sd="0" x="128"/>
        <item sd="0" x="74"/>
        <item sd="0" x="111"/>
        <item sd="0" x="62"/>
        <item sd="0" x="142"/>
        <item sd="0" x="153"/>
        <item sd="0" x="55"/>
        <item sd="0" x="134"/>
        <item sd="0" x="120"/>
        <item sd="0" x="54"/>
        <item sd="0" x="107"/>
        <item sd="0" x="85"/>
        <item sd="0" x="34"/>
        <item sd="0" x="1"/>
        <item sd="0" x="11"/>
        <item sd="0" x="19"/>
        <item sd="0" x="17"/>
        <item sd="0" x="5"/>
        <item sd="0" x="181"/>
        <item sd="0" x="78"/>
        <item sd="0" x="110"/>
        <item sd="0" x="40"/>
        <item sd="0" x="14"/>
        <item sd="0" x="10"/>
        <item sd="0" x="61"/>
        <item sd="0" x="24"/>
        <item sd="0" x="117"/>
        <item sd="0" x="136"/>
        <item sd="0" x="112"/>
        <item sd="0" x="69"/>
        <item sd="0" x="100"/>
        <item sd="0" x="82"/>
        <item sd="0" x="92"/>
        <item sd="0" x="0"/>
        <item sd="0" x="89"/>
        <item sd="0" x="88"/>
        <item sd="0" x="192"/>
        <item sd="0" x="186"/>
        <item sd="0" x="164"/>
        <item sd="0" x="27"/>
        <item sd="0" x="9"/>
        <item sd="0" x="43"/>
        <item sd="0" x="194"/>
        <item sd="0" x="177"/>
        <item sd="0" x="2"/>
        <item sd="0" x="31"/>
        <item sd="0" x="159"/>
        <item sd="0" x="39"/>
        <item sd="0" x="131"/>
        <item sd="0" x="29"/>
        <item sd="0" x="64"/>
        <item sd="0" x="53"/>
        <item sd="0" x="133"/>
        <item sd="0" x="70"/>
        <item sd="0" x="37"/>
        <item sd="0" x="76"/>
        <item sd="0" x="137"/>
        <item sd="0" x="171"/>
        <item sd="0" x="138"/>
        <item sd="0" x="146"/>
        <item sd="0" x="59"/>
        <item sd="0" x="45"/>
        <item sd="0" x="165"/>
        <item sd="0" x="162"/>
        <item sd="0" x="15"/>
        <item sd="0" x="190"/>
        <item sd="0" x="13"/>
        <item sd="0" x="129"/>
        <item sd="0" x="169"/>
        <item sd="0" x="135"/>
        <item sd="0" x="16"/>
        <item sd="0" x="20"/>
        <item sd="0" x="173"/>
        <item sd="0" x="91"/>
        <item sd="0" x="75"/>
        <item sd="0" x="25"/>
        <item sd="0" x="63"/>
        <item sd="0" x="118"/>
        <item sd="0" x="144"/>
        <item sd="0" x="26"/>
        <item sd="0" x="32"/>
        <item sd="0" x="193"/>
        <item sd="0" x="189"/>
        <item sd="0" x="141"/>
        <item sd="0" x="79"/>
        <item sd="0" x="174"/>
        <item sd="0" x="160"/>
        <item sd="0" x="93"/>
        <item sd="0" x="147"/>
        <item sd="0" x="83"/>
        <item sd="0" x="149"/>
        <item sd="0" x="72"/>
        <item sd="0" x="35"/>
        <item sd="0" x="152"/>
        <item sd="0" x="90"/>
        <item sd="0" x="87"/>
        <item sd="0" x="127"/>
        <item sd="0" x="166"/>
        <item sd="0" x="51"/>
        <item sd="0" x="48"/>
        <item sd="0" x="119"/>
        <item sd="0" x="156"/>
        <item sd="0" x="109"/>
        <item sd="0" x="163"/>
        <item sd="0" x="145"/>
        <item sd="0" x="94"/>
        <item sd="0" x="184"/>
        <item sd="0" x="123"/>
        <item sd="0" x="104"/>
        <item sd="0" x="33"/>
        <item sd="0" x="84"/>
        <item sd="0" x="161"/>
        <item sd="0" x="167"/>
        <item sd="0" x="68"/>
        <item sd="0" x="122"/>
        <item sd="0" x="105"/>
        <item sd="0" x="140"/>
        <item sd="0" x="139"/>
        <item sd="0" x="60"/>
        <item sd="0" x="58"/>
        <item sd="0" x="44"/>
        <item sd="0" x="67"/>
        <item sd="0" x="113"/>
        <item sd="0" x="154"/>
        <item sd="0" x="42"/>
        <item sd="0" x="23"/>
        <item sd="0" x="101"/>
        <item sd="0" x="56"/>
        <item sd="0" x="116"/>
        <item sd="0" x="30"/>
        <item sd="0" x="124"/>
        <item sd="0" x="66"/>
        <item sd="0" x="80"/>
        <item sd="0" x="73"/>
        <item sd="0" x="95"/>
        <item sd="0" x="98"/>
        <item sd="0" x="77"/>
        <item sd="0" x="151"/>
        <item sd="0" x="41"/>
        <item sd="0" x="191"/>
        <item sd="0" x="175"/>
        <item sd="0" x="7"/>
        <item sd="0" x="106"/>
        <item sd="0" x="96"/>
        <item sd="0" x="22"/>
        <item sd="0" x="185"/>
        <item sd="0" x="132"/>
        <item sd="0" x="172"/>
        <item sd="0" x="21"/>
        <item sd="0" x="170"/>
        <item sd="0" x="183"/>
        <item sd="0" x="178"/>
        <item sd="0" x="102"/>
        <item sd="0" x="130"/>
        <item sd="0" x="3"/>
        <item sd="0" x="157"/>
        <item sd="0" x="28"/>
        <item sd="0" x="103"/>
        <item sd="0" x="8"/>
        <item sd="0" x="50"/>
        <item sd="0" x="81"/>
        <item sd="0" x="12"/>
        <item sd="0" x="38"/>
        <item sd="0" x="6"/>
        <item sd="0" x="49"/>
        <item sd="0" x="36"/>
        <item sd="0" x="65"/>
        <item sd="0" x="182"/>
        <item sd="0" x="179"/>
        <item sd="0" x="115"/>
        <item sd="0" x="187"/>
        <item sd="0" x="180"/>
        <item sd="0" x="47"/>
        <item sd="0" x="168"/>
        <item sd="0" x="86"/>
        <item sd="0" x="57"/>
        <item sd="0" x="4"/>
        <item sd="0" x="125"/>
        <item sd="0" x="121"/>
        <item sd="0" x="46"/>
        <item sd="0" x="155"/>
        <item sd="0" x="114"/>
        <item sd="0" x="126"/>
        <item t="default" sd="0"/>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numFmtId="10" showAll="0"/>
    <pivotField numFmtId="2" showAll="0"/>
    <pivotField numFmtId="2" showAll="0"/>
    <pivotField dataField="1" numFmtId="2" showAll="0"/>
    <pivotField dataField="1" numFmtId="164" showAll="0"/>
    <pivotField showAll="0"/>
    <pivotField showAll="0">
      <items count="3">
        <item h="1" x="1"/>
        <item x="0"/>
        <item t="default"/>
      </items>
    </pivotField>
    <pivotField showAll="0"/>
    <pivotField showAll="0"/>
  </pivotFields>
  <rowFields count="2">
    <field x="0"/>
    <field x="1"/>
  </rowFields>
  <rowItems count="11">
    <i>
      <x v="25"/>
    </i>
    <i>
      <x v="56"/>
    </i>
    <i>
      <x v="67"/>
    </i>
    <i>
      <x v="78"/>
    </i>
    <i>
      <x v="85"/>
    </i>
    <i>
      <x v="89"/>
    </i>
    <i>
      <x v="108"/>
    </i>
    <i>
      <x v="117"/>
    </i>
    <i>
      <x v="165"/>
    </i>
    <i>
      <x v="172"/>
    </i>
    <i t="grand">
      <x/>
    </i>
  </rowItems>
  <colFields count="1">
    <field x="-2"/>
  </colFields>
  <colItems count="3">
    <i>
      <x/>
    </i>
    <i i="1">
      <x v="1"/>
    </i>
    <i i="2">
      <x v="2"/>
    </i>
  </colItems>
  <dataFields count="3">
    <dataField name="Sum of Price Change(1h)" fld="13" baseField="0" baseItem="0" numFmtId="164"/>
    <dataField name="Sum of Price (USD)" fld="2" baseField="0" baseItem="0"/>
    <dataField name="Sum of 1h Prev Price" fld="12" baseField="0" baseItem="0"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C58320-20D4-49F7-942C-D74D2C5C7E81}" name="PivotTable9"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5">
  <location ref="A19:B24" firstHeaderRow="1" firstDataRow="1" firstDataCol="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166"/>
    </i>
    <i>
      <x v="175"/>
    </i>
    <i>
      <x v="188"/>
    </i>
    <i>
      <x v="52"/>
    </i>
    <i>
      <x v="35"/>
    </i>
  </rowItems>
  <colItems count="1">
    <i/>
  </colItems>
  <dataFields count="1">
    <dataField name="Sum of volume (24h) USD" fld="7" baseField="0" baseItem="0" numFmtId="4"/>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 chart="0" format="6">
      <pivotArea type="data" outline="0" fieldPosition="0">
        <references count="2">
          <reference field="4294967294" count="1" selected="0">
            <x v="0"/>
          </reference>
          <reference field="0" count="1" selected="0">
            <x v="26"/>
          </reference>
        </references>
      </pivotArea>
    </chartFormat>
    <chartFormat chart="0" format="7">
      <pivotArea type="data" outline="0" fieldPosition="0">
        <references count="2">
          <reference field="4294967294" count="1" selected="0">
            <x v="0"/>
          </reference>
          <reference field="0" count="1" selected="0">
            <x v="29"/>
          </reference>
        </references>
      </pivotArea>
    </chartFormat>
    <chartFormat chart="0" format="8">
      <pivotArea type="data" outline="0" fieldPosition="0">
        <references count="2">
          <reference field="4294967294" count="1" selected="0">
            <x v="0"/>
          </reference>
          <reference field="0" count="1" selected="0">
            <x v="188"/>
          </reference>
        </references>
      </pivotArea>
    </chartFormat>
    <chartFormat chart="0" format="9">
      <pivotArea type="data" outline="0" fieldPosition="0">
        <references count="2">
          <reference field="4294967294" count="1" selected="0">
            <x v="0"/>
          </reference>
          <reference field="0" count="1" selected="0">
            <x v="52"/>
          </reference>
        </references>
      </pivotArea>
    </chartFormat>
    <chartFormat chart="0" format="10">
      <pivotArea type="data" outline="0" fieldPosition="0">
        <references count="2">
          <reference field="4294967294" count="1" selected="0">
            <x v="0"/>
          </reference>
          <reference field="0" count="1" selected="0">
            <x v="35"/>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7114D40-B879-4BD5-85F1-4BA71B7598FD}"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8">
  <location ref="A2:D13" firstHeaderRow="0"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numFmtId="4" showAll="0"/>
    <pivotField numFmtId="4" showAll="0"/>
    <pivotField numFmtId="10" showAll="0"/>
    <pivotField dataField="1" numFmtId="2" showAll="0"/>
    <pivotField dataField="1" numFmtId="2" showAll="0"/>
    <pivotField dataField="1" numFmtId="2" showAll="0"/>
    <pivotField numFmtId="164" showAll="0"/>
    <pivotField showAll="0"/>
    <pivotField showAll="0">
      <items count="3">
        <item h="1" x="1"/>
        <item x="0"/>
        <item t="default"/>
      </items>
    </pivotField>
    <pivotField showAll="0"/>
    <pivotField showAll="0"/>
  </pivotFields>
  <rowFields count="1">
    <field x="0"/>
  </rowFields>
  <rowItems count="11">
    <i>
      <x v="25"/>
    </i>
    <i>
      <x v="26"/>
    </i>
    <i>
      <x v="29"/>
    </i>
    <i>
      <x v="56"/>
    </i>
    <i>
      <x v="67"/>
    </i>
    <i>
      <x v="85"/>
    </i>
    <i>
      <x v="107"/>
    </i>
    <i>
      <x v="108"/>
    </i>
    <i>
      <x v="165"/>
    </i>
    <i>
      <x v="172"/>
    </i>
    <i t="grand">
      <x/>
    </i>
  </rowItems>
  <colFields count="1">
    <field x="-2"/>
  </colFields>
  <colItems count="3">
    <i>
      <x/>
    </i>
    <i i="1">
      <x v="1"/>
    </i>
    <i i="2">
      <x v="2"/>
    </i>
  </colItems>
  <dataFields count="3">
    <dataField name="Average of 24h Prev Price" fld="11" subtotal="average" baseField="0" baseItem="0" numFmtId="2"/>
    <dataField name="Average of 7d Prev Price" fld="10" subtotal="average" baseField="0" baseItem="0" numFmtId="2"/>
    <dataField name="Average of 1h Prev Price" fld="12" subtotal="average" baseField="0" baseItem="35"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 chart="15"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D7DE7B0-2541-4BEA-B9F9-CF96267CFD4A}"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19">
    <pivotField axis="axisRow" showAll="0"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 axis="axisRow" showAll="0">
      <items count="7">
        <item n="Others" sd="0" x="5"/>
        <item x="0"/>
        <item x="1"/>
        <item x="4"/>
        <item x="2"/>
        <item x="3"/>
        <item t="default"/>
      </items>
    </pivotField>
  </pivotFields>
  <rowFields count="2">
    <field x="18"/>
    <field x="0"/>
  </rowFields>
  <rowItems count="6">
    <i>
      <x/>
    </i>
    <i>
      <x v="4"/>
    </i>
    <i r="1">
      <x v="166"/>
    </i>
    <i>
      <x v="5"/>
    </i>
    <i r="1">
      <x v="175"/>
    </i>
    <i t="grand">
      <x/>
    </i>
  </rowItems>
  <colItems count="1">
    <i/>
  </colItems>
  <dataFields count="1">
    <dataField name="Sum of volume (24h) USD" fld="7" baseField="0" baseItem="0" numFmtId="4"/>
  </dataFields>
  <chartFormats count="14">
    <chartFormat chart="1" format="0"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8" count="1" selected="0">
            <x v="0"/>
          </reference>
        </references>
      </pivotArea>
    </chartFormat>
    <chartFormat chart="3" format="10">
      <pivotArea type="data" outline="0" fieldPosition="0">
        <references count="3">
          <reference field="4294967294" count="1" selected="0">
            <x v="0"/>
          </reference>
          <reference field="0" count="1" selected="0">
            <x v="25"/>
          </reference>
          <reference field="18" count="1" selected="0">
            <x v="1"/>
          </reference>
        </references>
      </pivotArea>
    </chartFormat>
    <chartFormat chart="3" format="11">
      <pivotArea type="data" outline="0" fieldPosition="0">
        <references count="3">
          <reference field="4294967294" count="1" selected="0">
            <x v="0"/>
          </reference>
          <reference field="0" count="1" selected="0">
            <x v="56"/>
          </reference>
          <reference field="18" count="1" selected="0">
            <x v="2"/>
          </reference>
        </references>
      </pivotArea>
    </chartFormat>
    <chartFormat chart="3" format="12">
      <pivotArea type="data" outline="0" fieldPosition="0">
        <references count="3">
          <reference field="4294967294" count="1" selected="0">
            <x v="0"/>
          </reference>
          <reference field="0" count="1" selected="0">
            <x v="153"/>
          </reference>
          <reference field="18" count="1" selected="0">
            <x v="3"/>
          </reference>
        </references>
      </pivotArea>
    </chartFormat>
    <chartFormat chart="3" format="13">
      <pivotArea type="data" outline="0" fieldPosition="0">
        <references count="3">
          <reference field="4294967294" count="1" selected="0">
            <x v="0"/>
          </reference>
          <reference field="0" count="1" selected="0">
            <x v="166"/>
          </reference>
          <reference field="18" count="1" selected="0">
            <x v="4"/>
          </reference>
        </references>
      </pivotArea>
    </chartFormat>
    <chartFormat chart="3" format="14">
      <pivotArea type="data" outline="0" fieldPosition="0">
        <references count="3">
          <reference field="4294967294" count="1" selected="0">
            <x v="0"/>
          </reference>
          <reference field="0" count="1" selected="0">
            <x v="175"/>
          </reference>
          <reference field="18" count="1" selected="0">
            <x v="5"/>
          </reference>
        </references>
      </pivotArea>
    </chartFormat>
    <chartFormat chart="1" format="1">
      <pivotArea type="data" outline="0" fieldPosition="0">
        <references count="2">
          <reference field="4294967294" count="1" selected="0">
            <x v="0"/>
          </reference>
          <reference field="18" count="1" selected="0">
            <x v="0"/>
          </reference>
        </references>
      </pivotArea>
    </chartFormat>
    <chartFormat chart="1" format="2">
      <pivotArea type="data" outline="0" fieldPosition="0">
        <references count="3">
          <reference field="4294967294" count="1" selected="0">
            <x v="0"/>
          </reference>
          <reference field="0" count="1" selected="0">
            <x v="25"/>
          </reference>
          <reference field="18" count="1" selected="0">
            <x v="1"/>
          </reference>
        </references>
      </pivotArea>
    </chartFormat>
    <chartFormat chart="1" format="3">
      <pivotArea type="data" outline="0" fieldPosition="0">
        <references count="3">
          <reference field="4294967294" count="1" selected="0">
            <x v="0"/>
          </reference>
          <reference field="0" count="1" selected="0">
            <x v="56"/>
          </reference>
          <reference field="18" count="1" selected="0">
            <x v="2"/>
          </reference>
        </references>
      </pivotArea>
    </chartFormat>
    <chartFormat chart="1" format="4">
      <pivotArea type="data" outline="0" fieldPosition="0">
        <references count="3">
          <reference field="4294967294" count="1" selected="0">
            <x v="0"/>
          </reference>
          <reference field="0" count="1" selected="0">
            <x v="153"/>
          </reference>
          <reference field="18" count="1" selected="0">
            <x v="3"/>
          </reference>
        </references>
      </pivotArea>
    </chartFormat>
    <chartFormat chart="1" format="5">
      <pivotArea type="data" outline="0" fieldPosition="0">
        <references count="3">
          <reference field="4294967294" count="1" selected="0">
            <x v="0"/>
          </reference>
          <reference field="0" count="1" selected="0">
            <x v="166"/>
          </reference>
          <reference field="18" count="1" selected="0">
            <x v="4"/>
          </reference>
        </references>
      </pivotArea>
    </chartFormat>
    <chartFormat chart="1" format="6">
      <pivotArea type="data" outline="0" fieldPosition="0">
        <references count="3">
          <reference field="4294967294" count="1" selected="0">
            <x v="0"/>
          </reference>
          <reference field="0" count="1" selected="0">
            <x v="175"/>
          </reference>
          <reference field="1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2FDCC9-8B00-4BDF-A598-F1FF9DCFF744}"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4" firstHeaderRow="1" firstDataRow="1" firstDataCol="1" rowPageCount="1" colPageCount="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pivotField axis="axisPage" multipleItemSelectionAllowed="1" showAll="0">
      <items count="3">
        <item h="1" x="1"/>
        <item x="0"/>
        <item t="default"/>
      </items>
    </pivotField>
  </pivotFields>
  <rowFields count="1">
    <field x="0"/>
  </rowFields>
  <rowItems count="11">
    <i>
      <x v="25"/>
    </i>
    <i>
      <x v="56"/>
    </i>
    <i>
      <x v="175"/>
    </i>
    <i>
      <x v="29"/>
    </i>
    <i>
      <x v="52"/>
    </i>
    <i>
      <x v="35"/>
    </i>
    <i>
      <x v="26"/>
    </i>
    <i>
      <x v="21"/>
    </i>
    <i>
      <x v="37"/>
    </i>
    <i>
      <x v="83"/>
    </i>
    <i t="grand">
      <x/>
    </i>
  </rowItems>
  <colItems count="1">
    <i/>
  </colItems>
  <pageFields count="1">
    <pageField fld="17" hier="-1"/>
  </pageFields>
  <dataFields count="1">
    <dataField name="Sum of volume (24h) USD" fld="7" baseField="0" baseItem="0" numFmtId="4"/>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7220029-F94C-4B82-A75C-81D4A1DF92E5}" name="PivotTable4"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8">
  <location ref="AB47:AD64" firstHeaderRow="1" firstDataRow="1" firstDataCol="0"/>
  <pivotFields count="18">
    <pivotField showAll="0">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n="34" x="10"/>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7478191-DF1C-4C9C-9D72-C5FB6EBFBFDE}" name="PivotTable3"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location ref="A1:B6" firstHeaderRow="1"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35"/>
    </i>
    <i>
      <x v="52"/>
    </i>
    <i>
      <x v="166"/>
    </i>
    <i>
      <x v="175"/>
    </i>
    <i>
      <x v="188"/>
    </i>
  </rowItems>
  <colItems count="1">
    <i/>
  </colItems>
  <dataFields count="1">
    <dataField name="Sum of volume (24h) USD" fld="7" baseField="0" baseItem="0" numFmtId="4"/>
  </dataFields>
  <formats count="15">
    <format dxfId="6">
      <pivotArea type="all" dataOnly="0" outline="0" fieldPosition="0"/>
    </format>
    <format dxfId="7">
      <pivotArea outline="0" collapsedLevelsAreSubtotals="1" fieldPosition="0"/>
    </format>
    <format dxfId="8">
      <pivotArea field="0" type="button" dataOnly="0" labelOnly="1" outline="0" axis="axisRow" fieldPosition="0"/>
    </format>
    <format dxfId="9">
      <pivotArea dataOnly="0" labelOnly="1" fieldPosition="0">
        <references count="1">
          <reference field="0" count="5">
            <x v="35"/>
            <x v="52"/>
            <x v="166"/>
            <x v="175"/>
            <x v="188"/>
          </reference>
        </references>
      </pivotArea>
    </format>
    <format dxfId="10">
      <pivotArea dataOnly="0" labelOnly="1" outline="0" axis="axisValues" fieldPosition="0"/>
    </format>
    <format dxfId="11">
      <pivotArea type="all" dataOnly="0" outline="0" fieldPosition="0"/>
    </format>
    <format dxfId="12">
      <pivotArea outline="0" collapsedLevelsAreSubtotals="1" fieldPosition="0"/>
    </format>
    <format dxfId="13">
      <pivotArea field="0" type="button" dataOnly="0" labelOnly="1" outline="0" axis="axisRow" fieldPosition="0"/>
    </format>
    <format dxfId="14">
      <pivotArea dataOnly="0" labelOnly="1" fieldPosition="0">
        <references count="1">
          <reference field="0" count="5">
            <x v="35"/>
            <x v="52"/>
            <x v="166"/>
            <x v="175"/>
            <x v="188"/>
          </reference>
        </references>
      </pivotArea>
    </format>
    <format dxfId="15">
      <pivotArea dataOnly="0" labelOnly="1" outline="0" axis="axisValues" fieldPosition="0"/>
    </format>
    <format dxfId="16">
      <pivotArea type="all" dataOnly="0" outline="0" fieldPosition="0"/>
    </format>
    <format dxfId="17">
      <pivotArea outline="0" collapsedLevelsAreSubtotals="1" fieldPosition="0"/>
    </format>
    <format dxfId="18">
      <pivotArea field="0" type="button" dataOnly="0" labelOnly="1" outline="0" axis="axisRow" fieldPosition="0"/>
    </format>
    <format dxfId="19">
      <pivotArea dataOnly="0" labelOnly="1" fieldPosition="0">
        <references count="1">
          <reference field="0" count="5">
            <x v="35"/>
            <x v="52"/>
            <x v="166"/>
            <x v="175"/>
            <x v="188"/>
          </reference>
        </references>
      </pivotArea>
    </format>
    <format dxfId="20">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77FDFEA0-AC28-4D08-B453-0563540F0A8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151DEF58-282C-4837-8076-27133498225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0B70F945-1A42-4834-846D-F725D0509D40}" sourceName="Price Category">
  <pivotTables>
    <pivotTable tabId="8" name="PivotTable1"/>
    <pivotTable tabId="8" name="PivotTable3"/>
  </pivotTables>
  <data>
    <tabular pivotCacheId="1057617863">
      <items count="5">
        <i x="0"/>
        <i x="4"/>
        <i x="2" s="1"/>
        <i x="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__10__10" xr10:uid="{89A1AFD2-E65B-41AC-A290-C7A89B21F98A}" sourceName="Price Category(&gt;=10/&lt;10)">
  <pivotTables>
    <pivotTable tabId="9" name="PivotTable1"/>
    <pivotTable tabId="9" name="PivotTable3"/>
  </pivotTables>
  <data>
    <tabular pivotCacheId="1057617863">
      <items count="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1" xr10:uid="{B7D3F303-32A6-4F4E-A92F-A346222975D5}" sourceName="Price Category(0-50/&gt;50)">
  <pivotTables>
    <pivotTable tabId="9" name="PivotTable9"/>
    <pivotTable tabId="14" name="PivotTable4"/>
    <pivotTable tabId="20" name="PivotTable3"/>
  </pivotTables>
  <data>
    <tabular pivotCacheId="1057617863">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 xr10:uid="{68041EE8-453E-4A73-978F-06307E5D5FDA}" sourceName="Price Category(0-50/&gt;50)">
  <pivotTables>
    <pivotTable tabId="19" name="PivotTable6"/>
  </pivotTables>
  <data>
    <tabular pivotCacheId="899542311">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972F079C-5F22-4FB5-9CB1-FA905E0D6516}" cache="Slicer_Price_Category" caption="Price Category" style="SlicerStyleDark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gt;=10/&lt;10)" xr10:uid="{654342B0-D6FE-4921-8320-213D7352955E}" cache="Slicer_Price_Category___10__10" caption="Price Category(&gt;=10/&lt;10)" columnCount="2" style="SlicerStyleLight1" rowHeight="234950"/>
  <slicer name="Price Category(0-50/&gt;50) 1" xr10:uid="{384F6993-FA00-42B8-BC4C-16C8A6FCA453}" cache="Slicer_Price_Category_0_50__501" caption="Price Category(0-50/&gt;50)" style="SlicerStyleLight1"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0-50/&gt;50)" xr10:uid="{28EF4778-4C1B-4278-90CA-168DB6502209}" cache="Slicer_Price_Category_0_50__50" caption="Price Category(0-50/&gt;50)" style="SlicerStyleLight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1" xr10:uid="{70893F2B-91BD-4E1F-9B5F-9019ECA86573}" cache="Slicer_Price_Category" caption="Price Category" showCaption="0" style="SlicerStyleOther1" rowHeight="576000"/>
  <slicer name="Price Category(&gt;=10/&lt;10) 1" xr10:uid="{D5365824-9BC3-47A2-8CFA-08EA4A1895E5}" cache="Slicer_Price_Category___10__10" caption="Price Category(&gt;=10/&lt;10)" columnCount="2" showCaption="0" style="SlicerStyleLight4" rowHeight="720000"/>
  <slicer name="Price Category(0-50/&gt;50) 2" xr10:uid="{83A77311-F0B8-478C-8F16-920C2B84239C}" cache="Slicer_Price_Category_0_50__50" caption="Price Category(0-50/&gt;50)" columnCount="2" showCaption="0" style="SlicerStyleOther1" rowHeight="64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E8BC27-6869-49E8-9FDE-342C4A0C29DA}" name="Cleaned_Data2" displayName="Cleaned_Data2" ref="A1:R196" tableType="queryTable" totalsRowShown="0">
  <autoFilter ref="A1:R196" xr:uid="{3BE8BC27-6869-49E8-9FDE-342C4A0C29DA}"/>
  <tableColumns count="18">
    <tableColumn id="1" xr3:uid="{2B6A7211-1530-430A-AAAB-D9AE356490E7}" uniqueName="1" name="Coin Name" queryTableFieldId="1" dataDxfId="61"/>
    <tableColumn id="2" xr3:uid="{D45C7BDC-011B-45F2-ABD0-C53D924E078F}" uniqueName="2" name="Symbol" queryTableFieldId="2" dataDxfId="60"/>
    <tableColumn id="3" xr3:uid="{13162AE0-5993-4E7F-957B-6889F8B9A594}" uniqueName="3" name="Price (USD)" queryTableFieldId="3"/>
    <tableColumn id="4" xr3:uid="{D3BAE2DD-F97B-45B8-916E-A34A4278AFA6}" uniqueName="4" name="1h change(%)" queryTableFieldId="4"/>
    <tableColumn id="5" xr3:uid="{2C78CA9D-E2DA-46BE-950F-227F0F916CA3}" uniqueName="5" name="24h change(%)" queryTableFieldId="5"/>
    <tableColumn id="6" xr3:uid="{08306C9D-7CE5-4ED3-B224-D18CCCAF8653}" uniqueName="6" name="7d change(%)" queryTableFieldId="6"/>
    <tableColumn id="7" xr3:uid="{C7D0AD35-5198-4918-9E82-FC8282FC4423}" uniqueName="7" name="Market Cap" queryTableFieldId="7" dataDxfId="59" dataCellStyle="Comma"/>
    <tableColumn id="8" xr3:uid="{38E211A9-084D-4C27-9716-EFAB5725602D}" uniqueName="8" name="volume (24h) USD" queryTableFieldId="8" dataDxfId="58" dataCellStyle="Comma"/>
    <tableColumn id="9" xr3:uid="{BF233B90-C32C-43C7-ADBB-9F61E6A7B57B}" uniqueName="9" name="Circulating Supply" queryTableFieldId="9" dataDxfId="57" dataCellStyle="Comma"/>
    <tableColumn id="10" xr3:uid="{25890E78-C84D-45A6-9CB3-C567F1760453}" uniqueName="10" name="Average Downfall" queryTableFieldId="10" dataDxfId="56"/>
    <tableColumn id="11" xr3:uid="{B05B7E13-D764-47E3-8AB8-C39CA5753775}" uniqueName="11" name="7d Prev Price" queryTableFieldId="11" dataDxfId="55"/>
    <tableColumn id="12" xr3:uid="{3E55AF1B-F8FC-4AB4-ACC5-8D31D1A501ED}" uniqueName="12" name="24h Prev Price" queryTableFieldId="12" dataDxfId="54"/>
    <tableColumn id="13" xr3:uid="{06276FF2-053E-48C8-95C4-B685BA1A0015}" uniqueName="13" name="1h Prev Price" queryTableFieldId="13" dataDxfId="53"/>
    <tableColumn id="14" xr3:uid="{2AE1D970-43A1-4F63-A9ED-E50B64E11096}" uniqueName="14" name="Price Change(1h)" queryTableFieldId="14" dataDxfId="52"/>
    <tableColumn id="15" xr3:uid="{9E7E39E8-9BAD-4BE7-9E7D-8A0D276952D2}" uniqueName="15" name="Price Category" queryTableFieldId="15"/>
    <tableColumn id="16" xr3:uid="{EB99D7DF-5195-43E0-8A8C-9084C2968886}" uniqueName="16" name="Price Category(&gt;=10/&lt;10)" queryTableFieldId="16"/>
    <tableColumn id="17" xr3:uid="{77C2D229-39C3-45D8-A162-E2D14CF99C51}" uniqueName="17" name="Price Category(0-50/&gt;50)" queryTableFieldId="17"/>
    <tableColumn id="18" xr3:uid="{39D129D5-38F7-416B-AA08-737B47736D86}" uniqueName="18" name="Name Filter"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297F148-BF10-4837-9A00-4E249D57F87C}" name="Cleaned_Data" displayName="Cleaned_Data" ref="A1:R196" tableType="queryTable" totalsRowShown="0">
  <autoFilter ref="A1:R196" xr:uid="{4297F148-BF10-4837-9A00-4E249D57F87C}"/>
  <tableColumns count="18">
    <tableColumn id="1" xr3:uid="{4595AD39-65E0-4C7E-B74B-F877CE4FD6DC}" uniqueName="1" name="Coin Name" queryTableFieldId="1" dataDxfId="30"/>
    <tableColumn id="2" xr3:uid="{98E4C353-F1EF-4941-9569-5AE0BF77EB8F}" uniqueName="2" name="Symbol" queryTableFieldId="2" dataDxfId="29"/>
    <tableColumn id="3" xr3:uid="{8751785A-1E15-4C37-976D-CD955D128320}" uniqueName="3" name="Price (USD)" queryTableFieldId="3"/>
    <tableColumn id="4" xr3:uid="{CE40876A-0EF7-43B1-B37C-CB3905C10176}" uniqueName="4" name="1h change(%)" queryTableFieldId="4"/>
    <tableColumn id="5" xr3:uid="{E9A97E09-C465-48AA-9D8E-DA8553400560}" uniqueName="5" name="24h change(%)" queryTableFieldId="5"/>
    <tableColumn id="6" xr3:uid="{BEC73D4D-E6FF-4DB9-9EC6-63AEBBC232B2}" uniqueName="6" name="7d change(%)" queryTableFieldId="6"/>
    <tableColumn id="7" xr3:uid="{5AECF044-5C60-428D-8A47-383BF2B37894}" uniqueName="7" name="Market Cap" queryTableFieldId="7" dataDxfId="28" dataCellStyle="Comma"/>
    <tableColumn id="8" xr3:uid="{08237867-19B9-4742-8690-58BFD5A6FBEA}" uniqueName="8" name="volume (24h) USD" queryTableFieldId="8" dataDxfId="27" dataCellStyle="Comma"/>
    <tableColumn id="9" xr3:uid="{51A2DE2E-F6AB-4FE3-BDA6-171DE1D3EFE0}" uniqueName="9" name="Circulating Supply" queryTableFieldId="9" dataDxfId="26" dataCellStyle="Comma"/>
    <tableColumn id="10" xr3:uid="{8E3B9DC7-27F1-439E-893A-127FA3F2F8F9}" uniqueName="10" name="Average Downfall" queryTableFieldId="10" dataDxfId="25"/>
    <tableColumn id="11" xr3:uid="{FD1919B2-95DA-46CB-AAFD-26A5E228DF79}" uniqueName="11" name="7d Prev Price" queryTableFieldId="11" dataDxfId="24"/>
    <tableColumn id="12" xr3:uid="{6C8FA9F8-399E-49AC-A8C8-F4D3F17E1795}" uniqueName="12" name="24h Prev Price" queryTableFieldId="12" dataDxfId="23"/>
    <tableColumn id="13" xr3:uid="{8960FDCF-EBEF-4175-9314-C3F2480F4C3A}" uniqueName="13" name="1h Prev Price" queryTableFieldId="13" dataDxfId="22"/>
    <tableColumn id="14" xr3:uid="{1D3AB688-85B2-4971-AFD0-A49608DF52AD}" uniqueName="14" name="Price Change(1h)" queryTableFieldId="14" dataDxfId="21"/>
    <tableColumn id="15" xr3:uid="{779A62DD-B7C8-4AEE-9974-9A532E60CC90}" uniqueName="15" name="Price Category" queryTableFieldId="15"/>
    <tableColumn id="16" xr3:uid="{29ECF5E7-B766-44F9-BEF8-6A0A359B248C}" uniqueName="16" name="Price Category(&gt;=10/&lt;10)" queryTableFieldId="16"/>
    <tableColumn id="17" xr3:uid="{9228C849-E919-4225-8160-DF0EEC475282}" uniqueName="17" name="Price Category(0-50/&gt;50)" queryTableFieldId="17"/>
    <tableColumn id="18" xr3:uid="{5AF7CB3E-9C0D-4818-93FA-9A301653471B}" uniqueName="18" name="Name Filt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2.bin"/><Relationship Id="rId1" Type="http://schemas.openxmlformats.org/officeDocument/2006/relationships/pivotTable" Target="../pivotTables/pivotTable8.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65BD9-ECE8-4A02-8EF5-F75D09F423EE}">
  <sheetPr codeName="Sheet1"/>
  <dimension ref="A3:E128"/>
  <sheetViews>
    <sheetView workbookViewId="0">
      <selection activeCell="J17" sqref="J17"/>
    </sheetView>
  </sheetViews>
  <sheetFormatPr defaultRowHeight="14.4" x14ac:dyDescent="0.3"/>
  <cols>
    <col min="1" max="1" width="24" bestFit="1" customWidth="1"/>
    <col min="2" max="2" width="25.77734375" bestFit="1" customWidth="1"/>
    <col min="3" max="3" width="20.21875" bestFit="1" customWidth="1"/>
    <col min="4" max="4" width="18.21875" bestFit="1" customWidth="1"/>
    <col min="7" max="7" width="18.21875" bestFit="1" customWidth="1"/>
  </cols>
  <sheetData>
    <row r="3" spans="1:5" x14ac:dyDescent="0.3">
      <c r="A3" s="6" t="s">
        <v>1545</v>
      </c>
      <c r="B3" t="s">
        <v>1548</v>
      </c>
      <c r="C3" t="s">
        <v>1549</v>
      </c>
      <c r="D3" t="s">
        <v>1550</v>
      </c>
      <c r="E3" t="s">
        <v>1551</v>
      </c>
    </row>
    <row r="4" spans="1:5" x14ac:dyDescent="0.3">
      <c r="A4" s="7" t="s">
        <v>792</v>
      </c>
      <c r="B4" s="3">
        <v>3.9033333333333302E-2</v>
      </c>
      <c r="C4" s="60">
        <v>0.1103</v>
      </c>
      <c r="D4" t="s">
        <v>0</v>
      </c>
      <c r="E4" t="str">
        <f>KPI!A4</f>
        <v>Acurast</v>
      </c>
    </row>
    <row r="5" spans="1:5" x14ac:dyDescent="0.3">
      <c r="A5" s="8" t="s">
        <v>793</v>
      </c>
      <c r="B5" s="3">
        <v>3.9033333333333302E-2</v>
      </c>
      <c r="C5" s="60">
        <v>0.1103</v>
      </c>
      <c r="D5" t="s">
        <v>1</v>
      </c>
      <c r="E5" t="str">
        <f>A5</f>
        <v>ACU</v>
      </c>
    </row>
    <row r="6" spans="1:5" x14ac:dyDescent="0.3">
      <c r="A6" s="7" t="s">
        <v>422</v>
      </c>
      <c r="B6" s="3">
        <v>-4.46666666666667E-3</v>
      </c>
      <c r="C6" s="60">
        <v>7.9030000000000003E-2</v>
      </c>
      <c r="D6" t="s">
        <v>1526</v>
      </c>
      <c r="E6" s="3">
        <f>C4</f>
        <v>0.1103</v>
      </c>
    </row>
    <row r="7" spans="1:5" x14ac:dyDescent="0.3">
      <c r="A7" s="8" t="s">
        <v>423</v>
      </c>
      <c r="B7" s="3">
        <v>-4.46666666666667E-3</v>
      </c>
      <c r="C7" s="60">
        <v>7.9030000000000003E-2</v>
      </c>
      <c r="D7" t="s">
        <v>1552</v>
      </c>
      <c r="E7">
        <f>B4</f>
        <v>3.9033333333333302E-2</v>
      </c>
    </row>
    <row r="8" spans="1:5" x14ac:dyDescent="0.3">
      <c r="A8" s="7" t="s">
        <v>575</v>
      </c>
      <c r="B8" s="3">
        <v>5.7999999999999996E-3</v>
      </c>
      <c r="C8" s="60">
        <v>0.30059999999999998</v>
      </c>
      <c r="D8" t="s">
        <v>1553</v>
      </c>
      <c r="E8">
        <f>D24</f>
        <v>62</v>
      </c>
    </row>
    <row r="9" spans="1:5" x14ac:dyDescent="0.3">
      <c r="A9" s="8" t="s">
        <v>576</v>
      </c>
      <c r="B9" s="3">
        <v>5.7999999999999996E-3</v>
      </c>
      <c r="C9" s="60">
        <v>0.30059999999999998</v>
      </c>
    </row>
    <row r="10" spans="1:5" x14ac:dyDescent="0.3">
      <c r="A10" s="7" t="s">
        <v>162</v>
      </c>
      <c r="B10" s="3">
        <v>8.2666666666666704E-3</v>
      </c>
      <c r="C10" s="60">
        <v>6.3346E-2</v>
      </c>
    </row>
    <row r="11" spans="1:5" x14ac:dyDescent="0.3">
      <c r="A11" s="8" t="s">
        <v>163</v>
      </c>
      <c r="B11" s="3">
        <v>8.2666666666666704E-3</v>
      </c>
      <c r="C11" s="60">
        <v>6.3346E-2</v>
      </c>
    </row>
    <row r="12" spans="1:5" x14ac:dyDescent="0.3">
      <c r="A12" s="7" t="s">
        <v>1014</v>
      </c>
      <c r="B12" s="3">
        <v>-1.6299999999999999E-2</v>
      </c>
      <c r="C12" s="60">
        <v>0.14149999999999999</v>
      </c>
    </row>
    <row r="13" spans="1:5" x14ac:dyDescent="0.3">
      <c r="A13" s="8" t="s">
        <v>1015</v>
      </c>
      <c r="B13" s="3">
        <v>-1.6299999999999999E-2</v>
      </c>
      <c r="C13" s="60">
        <v>0.14149999999999999</v>
      </c>
    </row>
    <row r="14" spans="1:5" x14ac:dyDescent="0.3">
      <c r="A14" s="7" t="s">
        <v>598</v>
      </c>
      <c r="B14" s="3">
        <v>1.6566666666666698E-2</v>
      </c>
      <c r="C14" s="60">
        <v>0.31819999999999998</v>
      </c>
    </row>
    <row r="15" spans="1:5" x14ac:dyDescent="0.3">
      <c r="A15" s="8" t="s">
        <v>599</v>
      </c>
      <c r="B15" s="3">
        <v>1.6566666666666698E-2</v>
      </c>
      <c r="C15" s="60">
        <v>0.31819999999999998</v>
      </c>
    </row>
    <row r="16" spans="1:5" x14ac:dyDescent="0.3">
      <c r="A16" s="7" t="s">
        <v>889</v>
      </c>
      <c r="B16" s="3">
        <v>8.9666666666666592E-3</v>
      </c>
      <c r="C16" s="60">
        <v>0.1774</v>
      </c>
    </row>
    <row r="17" spans="1:4" x14ac:dyDescent="0.3">
      <c r="A17" s="8" t="s">
        <v>890</v>
      </c>
      <c r="B17" s="3">
        <v>8.9666666666666592E-3</v>
      </c>
      <c r="C17" s="60">
        <v>0.1774</v>
      </c>
    </row>
    <row r="18" spans="1:4" x14ac:dyDescent="0.3">
      <c r="A18" s="7" t="s">
        <v>437</v>
      </c>
      <c r="B18" s="3">
        <v>-1.3100000000000001E-2</v>
      </c>
      <c r="C18" s="60">
        <v>5.6779999999999997E-2</v>
      </c>
    </row>
    <row r="19" spans="1:4" x14ac:dyDescent="0.3">
      <c r="A19" s="8" t="s">
        <v>438</v>
      </c>
      <c r="B19" s="3">
        <v>-1.3100000000000001E-2</v>
      </c>
      <c r="C19" s="60">
        <v>5.6779999999999997E-2</v>
      </c>
    </row>
    <row r="20" spans="1:4" x14ac:dyDescent="0.3">
      <c r="A20" s="7" t="s">
        <v>682</v>
      </c>
      <c r="B20" s="3">
        <v>-9.2666666666666592E-3</v>
      </c>
      <c r="C20" s="60">
        <v>0.29459999999999997</v>
      </c>
    </row>
    <row r="21" spans="1:4" x14ac:dyDescent="0.3">
      <c r="A21" s="8" t="s">
        <v>683</v>
      </c>
      <c r="B21" s="3">
        <v>-9.2666666666666592E-3</v>
      </c>
      <c r="C21" s="60">
        <v>0.29459999999999997</v>
      </c>
    </row>
    <row r="22" spans="1:4" x14ac:dyDescent="0.3">
      <c r="A22" s="7" t="s">
        <v>294</v>
      </c>
      <c r="B22" s="3">
        <v>1.0333333333333299E-3</v>
      </c>
      <c r="C22" s="60">
        <v>8.029E-2</v>
      </c>
    </row>
    <row r="23" spans="1:4" x14ac:dyDescent="0.3">
      <c r="A23" s="8" t="s">
        <v>295</v>
      </c>
      <c r="B23" s="3">
        <v>1.0333333333333299E-3</v>
      </c>
      <c r="C23" s="60">
        <v>8.029E-2</v>
      </c>
      <c r="D23" t="s">
        <v>1547</v>
      </c>
    </row>
    <row r="24" spans="1:4" x14ac:dyDescent="0.3">
      <c r="A24" s="7" t="s">
        <v>153</v>
      </c>
      <c r="B24" s="3">
        <v>-3.3666666666666701E-3</v>
      </c>
      <c r="C24" s="60">
        <v>6.3391000000000003E-2</v>
      </c>
      <c r="D24" s="60">
        <v>62</v>
      </c>
    </row>
    <row r="25" spans="1:4" x14ac:dyDescent="0.3">
      <c r="A25" s="8" t="s">
        <v>154</v>
      </c>
      <c r="B25" s="3">
        <v>-3.3666666666666701E-3</v>
      </c>
      <c r="C25" s="60">
        <v>6.3391000000000003E-2</v>
      </c>
    </row>
    <row r="26" spans="1:4" x14ac:dyDescent="0.3">
      <c r="A26" s="7" t="s">
        <v>1418</v>
      </c>
      <c r="B26" s="3">
        <v>-8.0999999999999996E-3</v>
      </c>
      <c r="C26" s="60">
        <v>7.7952999999999995E-2</v>
      </c>
    </row>
    <row r="27" spans="1:4" x14ac:dyDescent="0.3">
      <c r="A27" s="8" t="s">
        <v>1418</v>
      </c>
      <c r="B27" s="3">
        <v>-8.0999999999999996E-3</v>
      </c>
      <c r="C27" s="60">
        <v>7.7952999999999995E-2</v>
      </c>
    </row>
    <row r="28" spans="1:4" x14ac:dyDescent="0.3">
      <c r="A28" s="7" t="s">
        <v>332</v>
      </c>
      <c r="B28" s="3">
        <v>-7.0000000000000001E-3</v>
      </c>
      <c r="C28" s="60">
        <v>8.4860000000000005E-2</v>
      </c>
    </row>
    <row r="29" spans="1:4" x14ac:dyDescent="0.3">
      <c r="A29" s="8" t="s">
        <v>333</v>
      </c>
      <c r="B29" s="3">
        <v>-7.0000000000000001E-3</v>
      </c>
      <c r="C29" s="60">
        <v>8.4860000000000005E-2</v>
      </c>
    </row>
    <row r="30" spans="1:4" x14ac:dyDescent="0.3">
      <c r="A30" s="7" t="s">
        <v>127</v>
      </c>
      <c r="B30" s="3">
        <v>2.2333333333333298E-3</v>
      </c>
      <c r="C30" s="60">
        <v>0.17469999999999999</v>
      </c>
    </row>
    <row r="31" spans="1:4" x14ac:dyDescent="0.3">
      <c r="A31" s="8" t="s">
        <v>128</v>
      </c>
      <c r="B31" s="3">
        <v>2.2333333333333298E-3</v>
      </c>
      <c r="C31" s="60">
        <v>0.17469999999999999</v>
      </c>
    </row>
    <row r="32" spans="1:4" x14ac:dyDescent="0.3">
      <c r="A32" s="7" t="s">
        <v>92</v>
      </c>
      <c r="B32" s="3">
        <v>-7.4666666666666701E-3</v>
      </c>
      <c r="C32" s="60">
        <v>0.29409999999999997</v>
      </c>
    </row>
    <row r="33" spans="1:3" x14ac:dyDescent="0.3">
      <c r="A33" s="8" t="s">
        <v>93</v>
      </c>
      <c r="B33" s="3">
        <v>-7.4666666666666701E-3</v>
      </c>
      <c r="C33" s="60">
        <v>0.29409999999999997</v>
      </c>
    </row>
    <row r="34" spans="1:3" x14ac:dyDescent="0.3">
      <c r="A34" s="7" t="s">
        <v>213</v>
      </c>
      <c r="B34" s="3">
        <v>-1.17666666666667E-2</v>
      </c>
      <c r="C34" s="60">
        <v>0.34320000000000001</v>
      </c>
    </row>
    <row r="35" spans="1:3" x14ac:dyDescent="0.3">
      <c r="A35" s="8" t="s">
        <v>214</v>
      </c>
      <c r="B35" s="3">
        <v>-1.17666666666667E-2</v>
      </c>
      <c r="C35" s="60">
        <v>0.34320000000000001</v>
      </c>
    </row>
    <row r="36" spans="1:3" x14ac:dyDescent="0.3">
      <c r="A36" s="7" t="s">
        <v>937</v>
      </c>
      <c r="B36" s="3">
        <v>5.46666666666667E-3</v>
      </c>
      <c r="C36" s="60">
        <v>5.3089999999999998E-2</v>
      </c>
    </row>
    <row r="37" spans="1:3" x14ac:dyDescent="0.3">
      <c r="A37" s="8" t="s">
        <v>938</v>
      </c>
      <c r="B37" s="3">
        <v>5.46666666666667E-3</v>
      </c>
      <c r="C37" s="60">
        <v>5.3089999999999998E-2</v>
      </c>
    </row>
    <row r="38" spans="1:3" x14ac:dyDescent="0.3">
      <c r="A38" s="7" t="s">
        <v>800</v>
      </c>
      <c r="B38" s="3">
        <v>-5.2333333333333303E-3</v>
      </c>
      <c r="C38" s="60">
        <v>0.41959999999999997</v>
      </c>
    </row>
    <row r="39" spans="1:3" x14ac:dyDescent="0.3">
      <c r="A39" s="8" t="s">
        <v>801</v>
      </c>
      <c r="B39" s="3">
        <v>-5.2333333333333303E-3</v>
      </c>
      <c r="C39" s="60">
        <v>0.41959999999999997</v>
      </c>
    </row>
    <row r="40" spans="1:3" x14ac:dyDescent="0.3">
      <c r="A40" s="7" t="s">
        <v>706</v>
      </c>
      <c r="B40" s="3">
        <v>3.0533333333333301E-2</v>
      </c>
      <c r="C40" s="60">
        <v>9.4979999999999995E-2</v>
      </c>
    </row>
    <row r="41" spans="1:3" x14ac:dyDescent="0.3">
      <c r="A41" s="8" t="s">
        <v>706</v>
      </c>
      <c r="B41" s="3">
        <v>3.0533333333333301E-2</v>
      </c>
      <c r="C41" s="60">
        <v>9.4979999999999995E-2</v>
      </c>
    </row>
    <row r="42" spans="1:3" x14ac:dyDescent="0.3">
      <c r="A42" s="7" t="s">
        <v>1505</v>
      </c>
      <c r="B42" s="3">
        <v>1.56666666666667E-3</v>
      </c>
      <c r="C42" s="60">
        <v>5.0369999999999998E-2</v>
      </c>
    </row>
    <row r="43" spans="1:3" x14ac:dyDescent="0.3">
      <c r="A43" s="8" t="s">
        <v>1506</v>
      </c>
      <c r="B43" s="3">
        <v>1.56666666666667E-3</v>
      </c>
      <c r="C43" s="60">
        <v>5.0369999999999998E-2</v>
      </c>
    </row>
    <row r="44" spans="1:3" x14ac:dyDescent="0.3">
      <c r="A44" s="7" t="s">
        <v>1299</v>
      </c>
      <c r="B44" s="3">
        <v>2.8199999999999999E-2</v>
      </c>
      <c r="C44" s="60">
        <v>0.32069999999999999</v>
      </c>
    </row>
    <row r="45" spans="1:3" x14ac:dyDescent="0.3">
      <c r="A45" s="8" t="s">
        <v>1300</v>
      </c>
      <c r="B45" s="3">
        <v>2.8199999999999999E-2</v>
      </c>
      <c r="C45" s="60">
        <v>0.32069999999999999</v>
      </c>
    </row>
    <row r="46" spans="1:3" x14ac:dyDescent="0.3">
      <c r="A46" s="7" t="s">
        <v>84</v>
      </c>
      <c r="B46" s="3">
        <v>-1.6166666666666701E-2</v>
      </c>
      <c r="C46" s="60">
        <v>9.9959999999999993E-2</v>
      </c>
    </row>
    <row r="47" spans="1:3" x14ac:dyDescent="0.3">
      <c r="A47" s="8" t="s">
        <v>85</v>
      </c>
      <c r="B47" s="3">
        <v>-1.6166666666666701E-2</v>
      </c>
      <c r="C47" s="60">
        <v>9.9959999999999993E-2</v>
      </c>
    </row>
    <row r="48" spans="1:3" x14ac:dyDescent="0.3">
      <c r="A48" s="7" t="s">
        <v>1519</v>
      </c>
      <c r="B48" s="3">
        <v>-5.7666666666666699E-3</v>
      </c>
      <c r="C48" s="60">
        <v>9.9080000000000001E-2</v>
      </c>
    </row>
    <row r="49" spans="1:3" x14ac:dyDescent="0.3">
      <c r="A49" s="8" t="s">
        <v>1520</v>
      </c>
      <c r="B49" s="3">
        <v>-5.7666666666666699E-3</v>
      </c>
      <c r="C49" s="60">
        <v>9.9080000000000001E-2</v>
      </c>
    </row>
    <row r="50" spans="1:3" x14ac:dyDescent="0.3">
      <c r="A50" s="7" t="s">
        <v>521</v>
      </c>
      <c r="B50" s="3">
        <v>1.78E-2</v>
      </c>
      <c r="C50" s="60">
        <v>0.46310000000000001</v>
      </c>
    </row>
    <row r="51" spans="1:3" x14ac:dyDescent="0.3">
      <c r="A51" s="8" t="s">
        <v>522</v>
      </c>
      <c r="B51" s="3">
        <v>1.78E-2</v>
      </c>
      <c r="C51" s="60">
        <v>0.46310000000000001</v>
      </c>
    </row>
    <row r="52" spans="1:3" x14ac:dyDescent="0.3">
      <c r="A52" s="7" t="s">
        <v>1084</v>
      </c>
      <c r="B52" s="3">
        <v>-1.84E-2</v>
      </c>
      <c r="C52" s="60">
        <v>0.12570000000000001</v>
      </c>
    </row>
    <row r="53" spans="1:3" x14ac:dyDescent="0.3">
      <c r="A53" s="8" t="s">
        <v>1085</v>
      </c>
      <c r="B53" s="3">
        <v>-1.84E-2</v>
      </c>
      <c r="C53" s="60">
        <v>0.12570000000000001</v>
      </c>
    </row>
    <row r="54" spans="1:3" x14ac:dyDescent="0.3">
      <c r="A54" s="7" t="s">
        <v>480</v>
      </c>
      <c r="B54" s="3">
        <v>3.3666666666666701E-3</v>
      </c>
      <c r="C54" s="60">
        <v>0.182</v>
      </c>
    </row>
    <row r="55" spans="1:3" x14ac:dyDescent="0.3">
      <c r="A55" s="8" t="s">
        <v>481</v>
      </c>
      <c r="B55" s="3">
        <v>3.3666666666666701E-3</v>
      </c>
      <c r="C55" s="60">
        <v>0.182</v>
      </c>
    </row>
    <row r="56" spans="1:3" x14ac:dyDescent="0.3">
      <c r="A56" s="7" t="s">
        <v>135</v>
      </c>
      <c r="B56" s="3">
        <v>5.7466666666666701E-2</v>
      </c>
      <c r="C56" s="60">
        <v>0.1356</v>
      </c>
    </row>
    <row r="57" spans="1:3" x14ac:dyDescent="0.3">
      <c r="A57" s="8" t="s">
        <v>136</v>
      </c>
      <c r="B57" s="3">
        <v>5.7466666666666701E-2</v>
      </c>
      <c r="C57" s="60">
        <v>0.1356</v>
      </c>
    </row>
    <row r="58" spans="1:3" x14ac:dyDescent="0.3">
      <c r="A58" s="7" t="s">
        <v>1490</v>
      </c>
      <c r="B58" s="3">
        <v>2.4533333333333299E-2</v>
      </c>
      <c r="C58" s="60">
        <v>0.21959999999999999</v>
      </c>
    </row>
    <row r="59" spans="1:3" x14ac:dyDescent="0.3">
      <c r="A59" s="8" t="s">
        <v>1491</v>
      </c>
      <c r="B59" s="3">
        <v>2.4533333333333299E-2</v>
      </c>
      <c r="C59" s="60">
        <v>0.21959999999999999</v>
      </c>
    </row>
    <row r="60" spans="1:3" x14ac:dyDescent="0.3">
      <c r="A60" s="7" t="s">
        <v>144</v>
      </c>
      <c r="B60" s="3">
        <v>1.3599999999999999E-2</v>
      </c>
      <c r="C60" s="60">
        <v>0.17080000000000001</v>
      </c>
    </row>
    <row r="61" spans="1:3" x14ac:dyDescent="0.3">
      <c r="A61" s="8" t="s">
        <v>145</v>
      </c>
      <c r="B61" s="3">
        <v>1.3599999999999999E-2</v>
      </c>
      <c r="C61" s="60">
        <v>0.17080000000000001</v>
      </c>
    </row>
    <row r="62" spans="1:3" x14ac:dyDescent="0.3">
      <c r="A62" s="7" t="s">
        <v>605</v>
      </c>
      <c r="B62" s="3">
        <v>1.9E-2</v>
      </c>
      <c r="C62" s="60">
        <v>0.1163</v>
      </c>
    </row>
    <row r="63" spans="1:3" x14ac:dyDescent="0.3">
      <c r="A63" s="8" t="s">
        <v>606</v>
      </c>
      <c r="B63" s="3">
        <v>1.9E-2</v>
      </c>
      <c r="C63" s="60">
        <v>0.1163</v>
      </c>
    </row>
    <row r="64" spans="1:3" x14ac:dyDescent="0.3">
      <c r="A64" s="7" t="s">
        <v>221</v>
      </c>
      <c r="B64" s="3">
        <v>4.3333333333333201E-4</v>
      </c>
      <c r="C64" s="60">
        <v>7.0470000000000005E-2</v>
      </c>
    </row>
    <row r="65" spans="1:3" x14ac:dyDescent="0.3">
      <c r="A65" s="8" t="s">
        <v>221</v>
      </c>
      <c r="B65" s="3">
        <v>4.3333333333333201E-4</v>
      </c>
      <c r="C65" s="60">
        <v>7.0470000000000005E-2</v>
      </c>
    </row>
    <row r="66" spans="1:3" x14ac:dyDescent="0.3">
      <c r="A66" s="7" t="s">
        <v>638</v>
      </c>
      <c r="B66" s="3">
        <v>2.67333333333333E-2</v>
      </c>
      <c r="C66" s="60">
        <v>0.3271</v>
      </c>
    </row>
    <row r="67" spans="1:3" x14ac:dyDescent="0.3">
      <c r="A67" s="8" t="s">
        <v>639</v>
      </c>
      <c r="B67" s="3">
        <v>2.67333333333333E-2</v>
      </c>
      <c r="C67" s="60">
        <v>0.3271</v>
      </c>
    </row>
    <row r="68" spans="1:3" x14ac:dyDescent="0.3">
      <c r="A68" s="7" t="s">
        <v>1269</v>
      </c>
      <c r="B68" s="3">
        <v>2.4133333333333298E-2</v>
      </c>
      <c r="C68" s="60">
        <v>0.4047</v>
      </c>
    </row>
    <row r="69" spans="1:3" x14ac:dyDescent="0.3">
      <c r="A69" s="8" t="s">
        <v>1270</v>
      </c>
      <c r="B69" s="3">
        <v>2.4133333333333298E-2</v>
      </c>
      <c r="C69" s="60">
        <v>0.4047</v>
      </c>
    </row>
    <row r="70" spans="1:3" x14ac:dyDescent="0.3">
      <c r="A70" s="7" t="s">
        <v>746</v>
      </c>
      <c r="B70" s="3">
        <v>-2.5000000000000001E-3</v>
      </c>
      <c r="C70" s="60">
        <v>8.5010000000000002E-2</v>
      </c>
    </row>
    <row r="71" spans="1:3" x14ac:dyDescent="0.3">
      <c r="A71" s="8" t="s">
        <v>747</v>
      </c>
      <c r="B71" s="3">
        <v>-2.5000000000000001E-3</v>
      </c>
      <c r="C71" s="60">
        <v>8.5010000000000002E-2</v>
      </c>
    </row>
    <row r="72" spans="1:3" x14ac:dyDescent="0.3">
      <c r="A72" s="7" t="s">
        <v>1169</v>
      </c>
      <c r="B72" s="3">
        <v>1.1733333333333301E-2</v>
      </c>
      <c r="C72" s="60">
        <v>6.0819999999999999E-2</v>
      </c>
    </row>
    <row r="73" spans="1:3" x14ac:dyDescent="0.3">
      <c r="A73" s="8" t="s">
        <v>1170</v>
      </c>
      <c r="B73" s="3">
        <v>1.1733333333333301E-2</v>
      </c>
      <c r="C73" s="60">
        <v>6.0819999999999999E-2</v>
      </c>
    </row>
    <row r="74" spans="1:3" x14ac:dyDescent="0.3">
      <c r="A74" s="7" t="s">
        <v>582</v>
      </c>
      <c r="B74" s="3">
        <v>-2.8999999999999998E-3</v>
      </c>
      <c r="C74" s="60">
        <v>0.43969999999999998</v>
      </c>
    </row>
    <row r="75" spans="1:3" x14ac:dyDescent="0.3">
      <c r="A75" s="8" t="s">
        <v>583</v>
      </c>
      <c r="B75" s="3">
        <v>-2.8999999999999998E-3</v>
      </c>
      <c r="C75" s="60">
        <v>0.43969999999999998</v>
      </c>
    </row>
    <row r="76" spans="1:3" x14ac:dyDescent="0.3">
      <c r="A76" s="7" t="s">
        <v>1312</v>
      </c>
      <c r="B76" s="3">
        <v>-7.0666666666666603E-3</v>
      </c>
      <c r="C76" s="60">
        <v>8.9084999999999998E-2</v>
      </c>
    </row>
    <row r="77" spans="1:3" x14ac:dyDescent="0.3">
      <c r="A77" s="8" t="s">
        <v>1313</v>
      </c>
      <c r="B77" s="3">
        <v>-7.0666666666666603E-3</v>
      </c>
      <c r="C77" s="60">
        <v>8.9084999999999998E-2</v>
      </c>
    </row>
    <row r="78" spans="1:3" x14ac:dyDescent="0.3">
      <c r="A78" s="7" t="s">
        <v>397</v>
      </c>
      <c r="B78" s="3">
        <v>-1.69333333333333E-2</v>
      </c>
      <c r="C78" s="60">
        <v>6.1698999999999997E-2</v>
      </c>
    </row>
    <row r="79" spans="1:3" x14ac:dyDescent="0.3">
      <c r="A79" s="8" t="s">
        <v>398</v>
      </c>
      <c r="B79" s="3">
        <v>-1.69333333333333E-2</v>
      </c>
      <c r="C79" s="60">
        <v>6.1698999999999997E-2</v>
      </c>
    </row>
    <row r="80" spans="1:3" x14ac:dyDescent="0.3">
      <c r="A80" s="7" t="s">
        <v>836</v>
      </c>
      <c r="B80" s="3">
        <v>1.92333333333333E-2</v>
      </c>
      <c r="C80" s="60">
        <v>7.7380000000000004E-2</v>
      </c>
    </row>
    <row r="81" spans="1:3" x14ac:dyDescent="0.3">
      <c r="A81" s="8" t="s">
        <v>837</v>
      </c>
      <c r="B81" s="3">
        <v>1.92333333333333E-2</v>
      </c>
      <c r="C81" s="60">
        <v>7.7380000000000004E-2</v>
      </c>
    </row>
    <row r="82" spans="1:3" x14ac:dyDescent="0.3">
      <c r="A82" s="7" t="s">
        <v>674</v>
      </c>
      <c r="B82" s="3">
        <v>1.27666666666667E-2</v>
      </c>
      <c r="C82" s="60">
        <v>0.1497</v>
      </c>
    </row>
    <row r="83" spans="1:3" x14ac:dyDescent="0.3">
      <c r="A83" s="8" t="s">
        <v>675</v>
      </c>
      <c r="B83" s="3">
        <v>1.27666666666667E-2</v>
      </c>
      <c r="C83" s="60">
        <v>0.1497</v>
      </c>
    </row>
    <row r="84" spans="1:3" x14ac:dyDescent="0.3">
      <c r="A84" s="7" t="s">
        <v>489</v>
      </c>
      <c r="B84" s="3">
        <v>-1.6E-2</v>
      </c>
      <c r="C84" s="60">
        <v>0.1002</v>
      </c>
    </row>
    <row r="85" spans="1:3" x14ac:dyDescent="0.3">
      <c r="A85" s="8" t="s">
        <v>490</v>
      </c>
      <c r="B85" s="3">
        <v>-1.6E-2</v>
      </c>
      <c r="C85" s="60">
        <v>0.1002</v>
      </c>
    </row>
    <row r="86" spans="1:3" x14ac:dyDescent="0.3">
      <c r="A86" s="7" t="s">
        <v>471</v>
      </c>
      <c r="B86" s="3">
        <v>1.6999999999999999E-3</v>
      </c>
      <c r="C86" s="60">
        <v>5.969E-2</v>
      </c>
    </row>
    <row r="87" spans="1:3" x14ac:dyDescent="0.3">
      <c r="A87" s="8" t="s">
        <v>472</v>
      </c>
      <c r="B87" s="3">
        <v>1.6999999999999999E-3</v>
      </c>
      <c r="C87" s="60">
        <v>5.969E-2</v>
      </c>
    </row>
    <row r="88" spans="1:3" x14ac:dyDescent="0.3">
      <c r="A88" s="7" t="s">
        <v>204</v>
      </c>
      <c r="B88" s="3">
        <v>-1.4E-3</v>
      </c>
      <c r="C88" s="60">
        <v>5.3030000000000001E-2</v>
      </c>
    </row>
    <row r="89" spans="1:3" x14ac:dyDescent="0.3">
      <c r="A89" s="8" t="s">
        <v>205</v>
      </c>
      <c r="B89" s="3">
        <v>-1.4E-3</v>
      </c>
      <c r="C89" s="60">
        <v>5.3030000000000001E-2</v>
      </c>
    </row>
    <row r="90" spans="1:3" x14ac:dyDescent="0.3">
      <c r="A90" s="7" t="s">
        <v>454</v>
      </c>
      <c r="B90" s="3">
        <v>-2.7333333333333298E-3</v>
      </c>
      <c r="C90" s="60">
        <v>6.4699000000000007E-2</v>
      </c>
    </row>
    <row r="91" spans="1:3" x14ac:dyDescent="0.3">
      <c r="A91" s="8" t="s">
        <v>455</v>
      </c>
      <c r="B91" s="3">
        <v>-2.7333333333333298E-3</v>
      </c>
      <c r="C91" s="60">
        <v>6.4699000000000007E-2</v>
      </c>
    </row>
    <row r="92" spans="1:3" x14ac:dyDescent="0.3">
      <c r="A92" s="7" t="s">
        <v>988</v>
      </c>
      <c r="B92" s="3">
        <v>-2.36666666666667E-2</v>
      </c>
      <c r="C92" s="60">
        <v>0.107</v>
      </c>
    </row>
    <row r="93" spans="1:3" x14ac:dyDescent="0.3">
      <c r="A93" s="8" t="s">
        <v>989</v>
      </c>
      <c r="B93" s="3">
        <v>-2.36666666666667E-2</v>
      </c>
      <c r="C93" s="60">
        <v>0.107</v>
      </c>
    </row>
    <row r="94" spans="1:3" x14ac:dyDescent="0.3">
      <c r="A94" s="7" t="s">
        <v>784</v>
      </c>
      <c r="B94" s="3">
        <v>3.00666666666667E-2</v>
      </c>
      <c r="C94" s="60">
        <v>9.5850000000000005E-2</v>
      </c>
    </row>
    <row r="95" spans="1:3" x14ac:dyDescent="0.3">
      <c r="A95" s="8" t="s">
        <v>785</v>
      </c>
      <c r="B95" s="3">
        <v>3.00666666666667E-2</v>
      </c>
      <c r="C95" s="60">
        <v>9.5850000000000005E-2</v>
      </c>
    </row>
    <row r="96" spans="1:3" x14ac:dyDescent="0.3">
      <c r="A96" s="7" t="s">
        <v>621</v>
      </c>
      <c r="B96" s="3">
        <v>-2.1600000000000001E-2</v>
      </c>
      <c r="C96" s="60">
        <v>0.2109</v>
      </c>
    </row>
    <row r="97" spans="1:3" x14ac:dyDescent="0.3">
      <c r="A97" s="8" t="s">
        <v>622</v>
      </c>
      <c r="B97" s="3">
        <v>-2.1600000000000001E-2</v>
      </c>
      <c r="C97" s="60">
        <v>0.2109</v>
      </c>
    </row>
    <row r="98" spans="1:3" x14ac:dyDescent="0.3">
      <c r="A98" s="7" t="s">
        <v>1201</v>
      </c>
      <c r="B98" s="3">
        <v>4.3799999999999999E-2</v>
      </c>
      <c r="C98" s="60">
        <v>5.8549999999999998E-2</v>
      </c>
    </row>
    <row r="99" spans="1:3" x14ac:dyDescent="0.3">
      <c r="A99" s="8" t="s">
        <v>1202</v>
      </c>
      <c r="B99" s="3">
        <v>4.3799999999999999E-2</v>
      </c>
      <c r="C99" s="60">
        <v>5.8549999999999998E-2</v>
      </c>
    </row>
    <row r="100" spans="1:3" x14ac:dyDescent="0.3">
      <c r="A100" s="7" t="s">
        <v>341</v>
      </c>
      <c r="B100" s="3">
        <v>0.362433333333333</v>
      </c>
      <c r="C100" s="60">
        <v>0.46300000000000002</v>
      </c>
    </row>
    <row r="101" spans="1:3" x14ac:dyDescent="0.3">
      <c r="A101" s="8" t="s">
        <v>342</v>
      </c>
      <c r="B101" s="3">
        <v>0.362433333333333</v>
      </c>
      <c r="C101" s="60">
        <v>0.46300000000000002</v>
      </c>
    </row>
    <row r="102" spans="1:3" x14ac:dyDescent="0.3">
      <c r="A102" s="7" t="s">
        <v>1375</v>
      </c>
      <c r="B102" s="3">
        <v>9.0333333333333307E-3</v>
      </c>
      <c r="C102" s="60">
        <v>0.1007</v>
      </c>
    </row>
    <row r="103" spans="1:3" x14ac:dyDescent="0.3">
      <c r="A103" s="8" t="s">
        <v>1376</v>
      </c>
      <c r="B103" s="3">
        <v>9.0333333333333307E-3</v>
      </c>
      <c r="C103" s="60">
        <v>0.1007</v>
      </c>
    </row>
    <row r="104" spans="1:3" x14ac:dyDescent="0.3">
      <c r="A104" s="7" t="s">
        <v>852</v>
      </c>
      <c r="B104" s="3">
        <v>8.1333333333333396E-3</v>
      </c>
      <c r="C104" s="60">
        <v>0.17710000000000001</v>
      </c>
    </row>
    <row r="105" spans="1:3" x14ac:dyDescent="0.3">
      <c r="A105" s="8" t="s">
        <v>853</v>
      </c>
      <c r="B105" s="3">
        <v>8.1333333333333396E-3</v>
      </c>
      <c r="C105" s="60">
        <v>0.17710000000000001</v>
      </c>
    </row>
    <row r="106" spans="1:3" x14ac:dyDescent="0.3">
      <c r="A106" s="7" t="s">
        <v>196</v>
      </c>
      <c r="B106" s="3">
        <v>-2.2200000000000001E-2</v>
      </c>
      <c r="C106" s="60">
        <v>0.32829999999999998</v>
      </c>
    </row>
    <row r="107" spans="1:3" x14ac:dyDescent="0.3">
      <c r="A107" s="8" t="s">
        <v>197</v>
      </c>
      <c r="B107" s="3">
        <v>-2.2200000000000001E-2</v>
      </c>
      <c r="C107" s="60">
        <v>0.32829999999999998</v>
      </c>
    </row>
    <row r="108" spans="1:3" x14ac:dyDescent="0.3">
      <c r="A108" s="7" t="s">
        <v>1045</v>
      </c>
      <c r="B108" s="3">
        <v>3.7333333333333298E-3</v>
      </c>
      <c r="C108" s="60">
        <v>7.3580000000000007E-2</v>
      </c>
    </row>
    <row r="109" spans="1:3" x14ac:dyDescent="0.3">
      <c r="A109" s="8" t="s">
        <v>1046</v>
      </c>
      <c r="B109" s="3">
        <v>3.7333333333333298E-3</v>
      </c>
      <c r="C109" s="60">
        <v>7.3580000000000007E-2</v>
      </c>
    </row>
    <row r="110" spans="1:3" x14ac:dyDescent="0.3">
      <c r="A110" s="7" t="s">
        <v>1353</v>
      </c>
      <c r="B110" s="3">
        <v>2.44333333333333E-2</v>
      </c>
      <c r="C110" s="60">
        <v>0.1024</v>
      </c>
    </row>
    <row r="111" spans="1:3" x14ac:dyDescent="0.3">
      <c r="A111" s="8" t="s">
        <v>1354</v>
      </c>
      <c r="B111" s="3">
        <v>2.44333333333333E-2</v>
      </c>
      <c r="C111" s="60">
        <v>0.1024</v>
      </c>
    </row>
    <row r="112" spans="1:3" x14ac:dyDescent="0.3">
      <c r="A112" s="7" t="s">
        <v>1430</v>
      </c>
      <c r="B112" s="3">
        <v>7.6666666666666702E-4</v>
      </c>
      <c r="C112" s="60">
        <v>9.9390000000000006E-2</v>
      </c>
    </row>
    <row r="113" spans="1:3" x14ac:dyDescent="0.3">
      <c r="A113" s="8" t="s">
        <v>1431</v>
      </c>
      <c r="B113" s="3">
        <v>7.6666666666666702E-4</v>
      </c>
      <c r="C113" s="60">
        <v>9.9390000000000006E-2</v>
      </c>
    </row>
    <row r="114" spans="1:3" x14ac:dyDescent="0.3">
      <c r="A114" s="7" t="s">
        <v>813</v>
      </c>
      <c r="B114" s="3">
        <v>4.46666666666667E-3</v>
      </c>
      <c r="C114" s="60">
        <v>0.12379999999999999</v>
      </c>
    </row>
    <row r="115" spans="1:3" x14ac:dyDescent="0.3">
      <c r="A115" s="8" t="s">
        <v>814</v>
      </c>
      <c r="B115" s="3">
        <v>4.46666666666667E-3</v>
      </c>
      <c r="C115" s="60">
        <v>0.12379999999999999</v>
      </c>
    </row>
    <row r="116" spans="1:3" x14ac:dyDescent="0.3">
      <c r="A116" s="7" t="s">
        <v>75</v>
      </c>
      <c r="B116" s="3">
        <v>8.9333333333333296E-3</v>
      </c>
      <c r="C116" s="60">
        <v>0.28639999999999999</v>
      </c>
    </row>
    <row r="117" spans="1:3" x14ac:dyDescent="0.3">
      <c r="A117" s="8" t="s">
        <v>76</v>
      </c>
      <c r="B117" s="3">
        <v>8.9333333333333296E-3</v>
      </c>
      <c r="C117" s="60">
        <v>0.28639999999999999</v>
      </c>
    </row>
    <row r="118" spans="1:3" x14ac:dyDescent="0.3">
      <c r="A118" s="7" t="s">
        <v>1404</v>
      </c>
      <c r="B118" s="3">
        <v>-5.4266666666666699E-2</v>
      </c>
      <c r="C118" s="60">
        <v>0.30769999999999997</v>
      </c>
    </row>
    <row r="119" spans="1:3" x14ac:dyDescent="0.3">
      <c r="A119" s="8" t="s">
        <v>1405</v>
      </c>
      <c r="B119" s="3">
        <v>-5.4266666666666699E-2</v>
      </c>
      <c r="C119" s="60">
        <v>0.30769999999999997</v>
      </c>
    </row>
    <row r="120" spans="1:3" x14ac:dyDescent="0.3">
      <c r="A120" s="7" t="s">
        <v>390</v>
      </c>
      <c r="B120" s="3">
        <v>-1.02666666666667E-2</v>
      </c>
      <c r="C120" s="60">
        <v>5.1527000000000003E-2</v>
      </c>
    </row>
    <row r="121" spans="1:3" x14ac:dyDescent="0.3">
      <c r="A121" s="8" t="s">
        <v>391</v>
      </c>
      <c r="B121" s="3">
        <v>-1.02666666666667E-2</v>
      </c>
      <c r="C121" s="60">
        <v>5.1527000000000003E-2</v>
      </c>
    </row>
    <row r="122" spans="1:3" x14ac:dyDescent="0.3">
      <c r="A122" s="7" t="s">
        <v>965</v>
      </c>
      <c r="B122" s="3">
        <v>8.6E-3</v>
      </c>
      <c r="C122" s="60">
        <v>0.1585</v>
      </c>
    </row>
    <row r="123" spans="1:3" x14ac:dyDescent="0.3">
      <c r="A123" s="8" t="s">
        <v>966</v>
      </c>
      <c r="B123" s="3">
        <v>8.6E-3</v>
      </c>
      <c r="C123" s="60">
        <v>0.1585</v>
      </c>
    </row>
    <row r="124" spans="1:3" x14ac:dyDescent="0.3">
      <c r="A124" s="7" t="s">
        <v>382</v>
      </c>
      <c r="B124" s="3">
        <v>-3.4333333333333299E-3</v>
      </c>
      <c r="C124" s="60">
        <v>5.3120000000000001E-2</v>
      </c>
    </row>
    <row r="125" spans="1:3" x14ac:dyDescent="0.3">
      <c r="A125" s="8" t="s">
        <v>383</v>
      </c>
      <c r="B125" s="3">
        <v>-3.4333333333333299E-3</v>
      </c>
      <c r="C125" s="60">
        <v>5.3120000000000001E-2</v>
      </c>
    </row>
    <row r="126" spans="1:3" x14ac:dyDescent="0.3">
      <c r="A126" s="7" t="s">
        <v>913</v>
      </c>
      <c r="B126" s="3">
        <v>2.7699999999999999E-2</v>
      </c>
      <c r="C126" s="60">
        <v>8.6230000000000001E-2</v>
      </c>
    </row>
    <row r="127" spans="1:3" x14ac:dyDescent="0.3">
      <c r="A127" s="8" t="s">
        <v>914</v>
      </c>
      <c r="B127" s="3">
        <v>2.7699999999999999E-2</v>
      </c>
      <c r="C127" s="60">
        <v>8.6230000000000001E-2</v>
      </c>
    </row>
    <row r="128" spans="1:3" x14ac:dyDescent="0.3">
      <c r="A128" s="7" t="s">
        <v>1546</v>
      </c>
      <c r="B128" s="3">
        <v>9.6919354838709611E-3</v>
      </c>
      <c r="C128" s="60">
        <v>0.16352354838709676</v>
      </c>
    </row>
  </sheetData>
  <sortState xmlns:xlrd2="http://schemas.microsoft.com/office/spreadsheetml/2017/richdata2" columnSort="1" ref="A3:C128">
    <sortCondition ref="C3"/>
  </sortState>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A02CC-51D8-4A50-B284-661EC959B378}">
  <sheetPr codeName="Sheet2"/>
  <dimension ref="A2:L56"/>
  <sheetViews>
    <sheetView workbookViewId="0">
      <selection activeCell="B45" sqref="B45"/>
    </sheetView>
  </sheetViews>
  <sheetFormatPr defaultRowHeight="14.4" x14ac:dyDescent="0.3"/>
  <cols>
    <col min="1" max="1" width="12.5546875" bestFit="1" customWidth="1"/>
    <col min="2" max="2" width="23" bestFit="1" customWidth="1"/>
    <col min="3" max="3" width="21.77734375" customWidth="1"/>
    <col min="4" max="4" width="21.77734375" bestFit="1" customWidth="1"/>
    <col min="6" max="6" width="42.33203125" bestFit="1" customWidth="1"/>
    <col min="7" max="7" width="22.109375" bestFit="1" customWidth="1"/>
    <col min="8" max="8" width="17" bestFit="1" customWidth="1"/>
    <col min="9" max="9" width="18.5546875" bestFit="1" customWidth="1"/>
    <col min="10" max="10" width="8.88671875" customWidth="1"/>
  </cols>
  <sheetData>
    <row r="2" spans="1:4" x14ac:dyDescent="0.3">
      <c r="A2" s="6" t="s">
        <v>1545</v>
      </c>
      <c r="B2" t="s">
        <v>1554</v>
      </c>
      <c r="C2" t="s">
        <v>1555</v>
      </c>
      <c r="D2" t="s">
        <v>1560</v>
      </c>
    </row>
    <row r="3" spans="1:4" x14ac:dyDescent="0.3">
      <c r="A3" s="7" t="s">
        <v>18</v>
      </c>
      <c r="B3" s="2">
        <v>71121.679197994978</v>
      </c>
      <c r="C3" s="2">
        <v>66862.477910858041</v>
      </c>
      <c r="D3" s="2">
        <v>68085.694291712483</v>
      </c>
    </row>
    <row r="4" spans="1:4" x14ac:dyDescent="0.3">
      <c r="A4" s="7" t="s">
        <v>101</v>
      </c>
      <c r="B4" s="2">
        <v>512.63921528558296</v>
      </c>
      <c r="C4" s="2">
        <v>456.56565656565658</v>
      </c>
      <c r="D4" s="2">
        <v>501.61967606478709</v>
      </c>
    </row>
    <row r="5" spans="1:4" x14ac:dyDescent="0.3">
      <c r="A5" s="7" t="s">
        <v>51</v>
      </c>
      <c r="B5" s="2">
        <v>660.03994953742642</v>
      </c>
      <c r="C5" s="2">
        <v>606.48183925811452</v>
      </c>
      <c r="D5" s="2">
        <v>627.70445910817841</v>
      </c>
    </row>
    <row r="6" spans="1:4" x14ac:dyDescent="0.3">
      <c r="A6" s="7" t="s">
        <v>27</v>
      </c>
      <c r="B6" s="2">
        <v>2223.4541115209372</v>
      </c>
      <c r="C6" s="2">
        <v>1968.2896379525589</v>
      </c>
      <c r="D6" s="2">
        <v>2037.3558648111332</v>
      </c>
    </row>
    <row r="7" spans="1:4" x14ac:dyDescent="0.3">
      <c r="A7" s="7" t="s">
        <v>614</v>
      </c>
      <c r="B7" s="2">
        <v>476.39571013330658</v>
      </c>
      <c r="C7" s="2">
        <v>458.07632999228986</v>
      </c>
      <c r="D7" s="2">
        <v>474.39864257909971</v>
      </c>
    </row>
    <row r="8" spans="1:4" x14ac:dyDescent="0.3">
      <c r="A8" s="7" t="s">
        <v>729</v>
      </c>
      <c r="B8" s="2">
        <v>624.36753693584296</v>
      </c>
      <c r="C8" s="2">
        <v>608.66133964683831</v>
      </c>
      <c r="D8" s="2">
        <v>616.32204574967534</v>
      </c>
    </row>
    <row r="9" spans="1:4" x14ac:dyDescent="0.3">
      <c r="A9" s="7" t="s">
        <v>698</v>
      </c>
      <c r="B9" s="2">
        <v>443.78594905505338</v>
      </c>
      <c r="C9" s="2">
        <v>427.6650499851529</v>
      </c>
      <c r="D9" s="2">
        <v>432.02679732026797</v>
      </c>
    </row>
    <row r="10" spans="1:4" x14ac:dyDescent="0.3">
      <c r="A10" s="7" t="s">
        <v>1006</v>
      </c>
      <c r="B10" s="2">
        <v>416.92276381398187</v>
      </c>
      <c r="C10" s="2">
        <v>402.7029683506978</v>
      </c>
      <c r="D10" s="2">
        <v>409.09635546679976</v>
      </c>
    </row>
    <row r="11" spans="1:4" x14ac:dyDescent="0.3">
      <c r="A11" s="7" t="s">
        <v>1029</v>
      </c>
      <c r="B11" s="2">
        <v>420.7018967440917</v>
      </c>
      <c r="C11" s="2">
        <v>412.09140586189767</v>
      </c>
      <c r="D11" s="2">
        <v>414.31425432024764</v>
      </c>
    </row>
    <row r="12" spans="1:4" x14ac:dyDescent="0.3">
      <c r="A12" s="7" t="s">
        <v>652</v>
      </c>
      <c r="B12" s="2">
        <v>702.80444396505231</v>
      </c>
      <c r="C12" s="2">
        <v>558.66415159049984</v>
      </c>
      <c r="D12" s="2">
        <v>651.04916067146291</v>
      </c>
    </row>
    <row r="13" spans="1:4" x14ac:dyDescent="0.3">
      <c r="A13" s="7" t="s">
        <v>1546</v>
      </c>
      <c r="B13" s="2">
        <v>7760.2790774986261</v>
      </c>
      <c r="C13" s="2">
        <v>7276.1676290061732</v>
      </c>
      <c r="D13" s="2">
        <v>7424.9581547804137</v>
      </c>
    </row>
    <row r="19" spans="1:6" x14ac:dyDescent="0.3">
      <c r="A19" s="6" t="s">
        <v>1545</v>
      </c>
      <c r="B19" t="s">
        <v>1556</v>
      </c>
      <c r="C19" t="s">
        <v>1557</v>
      </c>
      <c r="F19" s="10">
        <v>230797366560</v>
      </c>
    </row>
    <row r="20" spans="1:6" x14ac:dyDescent="0.3">
      <c r="A20" s="7" t="s">
        <v>36</v>
      </c>
      <c r="B20" s="9">
        <v>110724997343</v>
      </c>
      <c r="C20" s="9" cm="1">
        <f t="array" ref="C20:C24">F19-B20:B24</f>
        <v>120072369217</v>
      </c>
    </row>
    <row r="21" spans="1:6" x14ac:dyDescent="0.3">
      <c r="A21" s="7" t="s">
        <v>59</v>
      </c>
      <c r="B21" s="9">
        <v>15183054533</v>
      </c>
      <c r="C21">
        <v>215614312027</v>
      </c>
    </row>
    <row r="22" spans="1:6" x14ac:dyDescent="0.3">
      <c r="A22" s="7" t="s">
        <v>43</v>
      </c>
      <c r="B22" s="9">
        <v>4421248180</v>
      </c>
      <c r="C22">
        <v>226376118380</v>
      </c>
    </row>
    <row r="23" spans="1:6" x14ac:dyDescent="0.3">
      <c r="A23" s="7" t="s">
        <v>84</v>
      </c>
      <c r="B23" s="9">
        <v>1815598681</v>
      </c>
      <c r="C23">
        <v>228981767879</v>
      </c>
    </row>
    <row r="24" spans="1:6" x14ac:dyDescent="0.3">
      <c r="A24" s="7" t="s">
        <v>92</v>
      </c>
      <c r="B24" s="9">
        <v>1152105381</v>
      </c>
      <c r="C24">
        <v>229645261179</v>
      </c>
    </row>
    <row r="25" spans="1:6" x14ac:dyDescent="0.3">
      <c r="A25" s="7" t="s">
        <v>1557</v>
      </c>
      <c r="B25" s="9">
        <f>C20</f>
        <v>120072369217</v>
      </c>
    </row>
    <row r="38" spans="1:9" x14ac:dyDescent="0.3">
      <c r="F38" s="6" t="s">
        <v>1545</v>
      </c>
      <c r="G38" t="s">
        <v>1561</v>
      </c>
      <c r="H38" t="s">
        <v>1562</v>
      </c>
      <c r="I38" t="s">
        <v>1559</v>
      </c>
    </row>
    <row r="39" spans="1:9" x14ac:dyDescent="0.3">
      <c r="F39" s="7" t="s">
        <v>18</v>
      </c>
      <c r="G39" s="5">
        <v>20.425708287511952</v>
      </c>
      <c r="H39" s="60">
        <v>68106.12</v>
      </c>
      <c r="I39" s="2">
        <v>68085.694291712483</v>
      </c>
    </row>
    <row r="40" spans="1:9" x14ac:dyDescent="0.3">
      <c r="F40" s="7" t="s">
        <v>27</v>
      </c>
      <c r="G40" s="5">
        <v>12.22413518886674</v>
      </c>
      <c r="H40" s="60">
        <v>2049.58</v>
      </c>
      <c r="I40" s="2">
        <v>2037.3558648111332</v>
      </c>
    </row>
    <row r="41" spans="1:9" x14ac:dyDescent="0.3">
      <c r="B41" t="s">
        <v>1570</v>
      </c>
      <c r="F41" s="7" t="s">
        <v>614</v>
      </c>
      <c r="G41" s="5">
        <v>0.9013574209002968</v>
      </c>
      <c r="H41" s="60">
        <v>475.3</v>
      </c>
      <c r="I41" s="2">
        <v>474.39864257909971</v>
      </c>
    </row>
    <row r="42" spans="1:9" x14ac:dyDescent="0.3">
      <c r="F42" s="7" t="s">
        <v>118</v>
      </c>
      <c r="G42" s="5">
        <v>0.21833498710061505</v>
      </c>
      <c r="H42" s="60">
        <v>28.21</v>
      </c>
      <c r="I42" s="2">
        <v>27.991665012899386</v>
      </c>
    </row>
    <row r="43" spans="1:9" x14ac:dyDescent="0.3">
      <c r="B43" s="9"/>
      <c r="C43" s="9"/>
      <c r="F43" s="7" t="s">
        <v>729</v>
      </c>
      <c r="G43" s="5">
        <v>0.67795425032466028</v>
      </c>
      <c r="H43" s="60">
        <v>617</v>
      </c>
      <c r="I43" s="2">
        <v>616.32204574967534</v>
      </c>
    </row>
    <row r="44" spans="1:9" x14ac:dyDescent="0.3">
      <c r="B44" s="11"/>
      <c r="C44" s="11"/>
      <c r="F44" s="7" t="s">
        <v>945</v>
      </c>
      <c r="G44" s="5">
        <v>0.22837074728124662</v>
      </c>
      <c r="H44" s="60">
        <v>99.52</v>
      </c>
      <c r="I44" s="2">
        <v>99.291629252718749</v>
      </c>
    </row>
    <row r="45" spans="1:9" x14ac:dyDescent="0.3">
      <c r="B45" s="9"/>
      <c r="C45" s="9"/>
      <c r="F45" s="7" t="s">
        <v>1006</v>
      </c>
      <c r="G45" s="5">
        <v>0.61364453320021539</v>
      </c>
      <c r="H45" s="60">
        <v>409.71</v>
      </c>
      <c r="I45" s="2">
        <v>409.09635546679976</v>
      </c>
    </row>
    <row r="46" spans="1:9" x14ac:dyDescent="0.3">
      <c r="F46" s="7" t="s">
        <v>754</v>
      </c>
      <c r="G46" s="5">
        <v>0.35529247354762106</v>
      </c>
      <c r="H46" s="60">
        <v>197.74</v>
      </c>
      <c r="I46" s="2">
        <v>197.38470752645239</v>
      </c>
    </row>
    <row r="47" spans="1:9" x14ac:dyDescent="0.3">
      <c r="F47" s="7" t="s">
        <v>1029</v>
      </c>
      <c r="G47" s="5">
        <v>0.45574567975234004</v>
      </c>
      <c r="H47" s="60">
        <v>414.77</v>
      </c>
      <c r="I47" s="2">
        <v>414.31425432024764</v>
      </c>
    </row>
    <row r="48" spans="1:9" ht="15.6" x14ac:dyDescent="0.3">
      <c r="A48" s="41"/>
      <c r="B48" s="41"/>
      <c r="F48" s="7" t="s">
        <v>652</v>
      </c>
      <c r="G48" s="5">
        <v>0.52083932853713577</v>
      </c>
      <c r="H48" s="60">
        <v>651.57000000000005</v>
      </c>
      <c r="I48" s="2">
        <v>651.04916067146291</v>
      </c>
    </row>
    <row r="49" spans="1:12" ht="15.6" x14ac:dyDescent="0.3">
      <c r="A49" s="37"/>
      <c r="B49" s="38"/>
      <c r="F49" s="7" t="s">
        <v>1546</v>
      </c>
      <c r="G49" s="5">
        <v>36.621382897022826</v>
      </c>
      <c r="H49" s="60">
        <v>73049.520000000033</v>
      </c>
      <c r="I49" s="2">
        <v>73012.898617102968</v>
      </c>
    </row>
    <row r="50" spans="1:12" ht="15.6" x14ac:dyDescent="0.3">
      <c r="A50" s="37"/>
      <c r="B50" s="39"/>
    </row>
    <row r="51" spans="1:12" ht="15.6" x14ac:dyDescent="0.3">
      <c r="A51" s="37"/>
      <c r="B51" s="40"/>
    </row>
    <row r="52" spans="1:12" ht="15.6" x14ac:dyDescent="0.3">
      <c r="A52" s="37"/>
      <c r="B52" s="39"/>
    </row>
    <row r="53" spans="1:12" x14ac:dyDescent="0.3">
      <c r="C53" s="12"/>
    </row>
    <row r="56" spans="1:12" x14ac:dyDescent="0.3">
      <c r="L56" s="5">
        <f>G39</f>
        <v>20.425708287511952</v>
      </c>
    </row>
  </sheetData>
  <mergeCells count="1">
    <mergeCell ref="A48:B48"/>
  </mergeCells>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98A1-3340-443D-9F8C-F60372178C49}">
  <sheetPr codeName="Sheet9"/>
  <dimension ref="A3:B9"/>
  <sheetViews>
    <sheetView workbookViewId="0">
      <selection activeCell="A3" sqref="A3"/>
    </sheetView>
  </sheetViews>
  <sheetFormatPr defaultRowHeight="14.4" x14ac:dyDescent="0.3"/>
  <cols>
    <col min="1" max="1" width="12.5546875" bestFit="1" customWidth="1"/>
    <col min="2" max="2" width="23" bestFit="1" customWidth="1"/>
    <col min="13" max="14" width="16.5546875" customWidth="1"/>
    <col min="15" max="15" width="13.6640625" customWidth="1"/>
  </cols>
  <sheetData>
    <row r="3" spans="1:2" x14ac:dyDescent="0.3">
      <c r="A3" s="6" t="s">
        <v>1545</v>
      </c>
      <c r="B3" t="s">
        <v>1556</v>
      </c>
    </row>
    <row r="4" spans="1:2" x14ac:dyDescent="0.3">
      <c r="A4" s="7" t="s">
        <v>1557</v>
      </c>
      <c r="B4" s="9">
        <v>9709236973</v>
      </c>
    </row>
    <row r="5" spans="1:2" x14ac:dyDescent="0.3">
      <c r="A5" s="7" t="s">
        <v>36</v>
      </c>
      <c r="B5" s="9">
        <v>110724997343</v>
      </c>
    </row>
    <row r="6" spans="1:2" x14ac:dyDescent="0.3">
      <c r="A6" s="8" t="s">
        <v>36</v>
      </c>
      <c r="B6" s="9">
        <v>110724997343</v>
      </c>
    </row>
    <row r="7" spans="1:2" x14ac:dyDescent="0.3">
      <c r="A7" s="7" t="s">
        <v>59</v>
      </c>
      <c r="B7" s="9">
        <v>15183054533</v>
      </c>
    </row>
    <row r="8" spans="1:2" x14ac:dyDescent="0.3">
      <c r="A8" s="8" t="s">
        <v>59</v>
      </c>
      <c r="B8" s="9">
        <v>15183054533</v>
      </c>
    </row>
    <row r="9" spans="1:2" x14ac:dyDescent="0.3">
      <c r="A9" s="7" t="s">
        <v>1546</v>
      </c>
      <c r="B9" s="9">
        <v>135617288849</v>
      </c>
    </row>
  </sheetData>
  <dataValidations count="1">
    <dataValidation type="custom" allowBlank="1" showInputMessage="1" showErrorMessage="1" sqref="N3 O3" xr:uid="{1990C833-484F-429C-890D-24A3D036D731}">
      <formula1>AND(LEN(N3)&gt;2,LEN(N3)&lt;11,NOT(ISNUMBER(--N3)))</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82034-0A53-435C-958B-39C60E027580}">
  <sheetPr codeName="Sheet3"/>
  <dimension ref="A1:R196"/>
  <sheetViews>
    <sheetView topLeftCell="A177" workbookViewId="0">
      <selection sqref="A1:R196"/>
    </sheetView>
  </sheetViews>
  <sheetFormatPr defaultRowHeight="14.4" x14ac:dyDescent="0.3"/>
  <cols>
    <col min="1" max="1" width="52.44140625" bestFit="1" customWidth="1"/>
    <col min="2" max="2" width="9.77734375" bestFit="1" customWidth="1"/>
    <col min="3" max="3" width="12.6640625" bestFit="1" customWidth="1"/>
    <col min="4" max="4" width="14.6640625" bestFit="1" customWidth="1"/>
    <col min="5" max="5" width="15.77734375" bestFit="1" customWidth="1"/>
    <col min="6" max="6" width="14.6640625" bestFit="1" customWidth="1"/>
    <col min="7" max="7" width="19" bestFit="1" customWidth="1"/>
    <col min="8" max="8" width="18.5546875" bestFit="1" customWidth="1"/>
    <col min="9" max="9" width="21.5546875" bestFit="1" customWidth="1"/>
    <col min="10" max="10" width="18.109375" bestFit="1" customWidth="1"/>
    <col min="11" max="11" width="14.109375" bestFit="1" customWidth="1"/>
    <col min="12" max="12" width="15.109375" bestFit="1" customWidth="1"/>
    <col min="13" max="13" width="14.109375" bestFit="1" customWidth="1"/>
    <col min="14" max="14" width="17.6640625" bestFit="1" customWidth="1"/>
    <col min="15" max="15" width="15.44140625" bestFit="1" customWidth="1"/>
    <col min="16" max="16" width="24.88671875" bestFit="1" customWidth="1"/>
    <col min="17" max="17" width="24.5546875" bestFit="1" customWidth="1"/>
    <col min="18" max="18" width="12.77734375" bestFit="1" customWidth="1"/>
  </cols>
  <sheetData>
    <row r="1" spans="1:18"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row>
    <row r="2" spans="1:18"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18"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18"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18"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18"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18"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18"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18"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18"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18"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18"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18"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18"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18"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18"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D7962-52D5-4E3D-AB39-524103332D45}">
  <sheetPr codeName="Sheet4"/>
  <dimension ref="A1:N48"/>
  <sheetViews>
    <sheetView zoomScale="63" workbookViewId="0">
      <selection activeCell="B25" sqref="B25"/>
    </sheetView>
  </sheetViews>
  <sheetFormatPr defaultRowHeight="14.4" x14ac:dyDescent="0.3"/>
  <cols>
    <col min="1" max="1" width="12.5546875" bestFit="1" customWidth="1"/>
    <col min="2" max="2" width="25.44140625" customWidth="1"/>
    <col min="3" max="3" width="31.109375" customWidth="1"/>
  </cols>
  <sheetData>
    <row r="1" spans="1:2" x14ac:dyDescent="0.3">
      <c r="A1" s="6" t="s">
        <v>1534</v>
      </c>
      <c r="B1" t="s">
        <v>1537</v>
      </c>
    </row>
    <row r="3" spans="1:2" x14ac:dyDescent="0.3">
      <c r="A3" s="6" t="s">
        <v>1545</v>
      </c>
      <c r="B3" t="s">
        <v>1556</v>
      </c>
    </row>
    <row r="4" spans="1:2" x14ac:dyDescent="0.3">
      <c r="A4" s="7" t="s">
        <v>18</v>
      </c>
      <c r="B4" s="9">
        <v>55110655820</v>
      </c>
    </row>
    <row r="5" spans="1:2" x14ac:dyDescent="0.3">
      <c r="A5" s="7" t="s">
        <v>27</v>
      </c>
      <c r="B5" s="9">
        <v>31027611819</v>
      </c>
    </row>
    <row r="6" spans="1:2" x14ac:dyDescent="0.3">
      <c r="A6" s="7" t="s">
        <v>59</v>
      </c>
      <c r="B6" s="9">
        <v>15183054533</v>
      </c>
    </row>
    <row r="7" spans="1:2" x14ac:dyDescent="0.3">
      <c r="A7" s="7" t="s">
        <v>51</v>
      </c>
      <c r="B7" s="9">
        <v>2701737108</v>
      </c>
    </row>
    <row r="8" spans="1:2" x14ac:dyDescent="0.3">
      <c r="A8" s="7" t="s">
        <v>84</v>
      </c>
      <c r="B8" s="9">
        <v>1815598681</v>
      </c>
    </row>
    <row r="9" spans="1:2" x14ac:dyDescent="0.3">
      <c r="A9" s="7" t="s">
        <v>92</v>
      </c>
      <c r="B9" s="9">
        <v>1152105381</v>
      </c>
    </row>
    <row r="10" spans="1:2" x14ac:dyDescent="0.3">
      <c r="A10" s="7" t="s">
        <v>101</v>
      </c>
      <c r="B10" s="9">
        <v>523884913</v>
      </c>
    </row>
    <row r="11" spans="1:2" x14ac:dyDescent="0.3">
      <c r="A11" s="7" t="s">
        <v>437</v>
      </c>
      <c r="B11" s="9">
        <v>122933355</v>
      </c>
    </row>
    <row r="12" spans="1:2" x14ac:dyDescent="0.3">
      <c r="A12" s="7" t="s">
        <v>213</v>
      </c>
      <c r="B12" s="9">
        <v>92107325</v>
      </c>
    </row>
    <row r="13" spans="1:2" x14ac:dyDescent="0.3">
      <c r="A13" s="7" t="s">
        <v>178</v>
      </c>
      <c r="B13" s="9">
        <v>73524284</v>
      </c>
    </row>
    <row r="14" spans="1:2" x14ac:dyDescent="0.3">
      <c r="A14" s="7" t="s">
        <v>1546</v>
      </c>
      <c r="B14" s="9">
        <v>107803213219</v>
      </c>
    </row>
    <row r="26" spans="2:3" x14ac:dyDescent="0.3">
      <c r="B26" s="13"/>
      <c r="C26" s="13"/>
    </row>
    <row r="47" spans="14:14" x14ac:dyDescent="0.3">
      <c r="N47" t="s">
        <v>1567</v>
      </c>
    </row>
    <row r="48" spans="14:14" x14ac:dyDescent="0.3">
      <c r="N48" t="s">
        <v>1567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76293-45AF-4C6D-BF0B-515FB60A70EA}">
  <sheetPr codeName="Sheet7"/>
  <dimension ref="B1:AD95"/>
  <sheetViews>
    <sheetView tabSelected="1" topLeftCell="A25" zoomScale="46" zoomScaleNormal="25" workbookViewId="0">
      <selection activeCell="AH63" sqref="AH63:AI76"/>
    </sheetView>
  </sheetViews>
  <sheetFormatPr defaultRowHeight="14.4" x14ac:dyDescent="0.3"/>
  <cols>
    <col min="2" max="2" width="22.6640625" customWidth="1"/>
    <col min="3" max="3" width="16.109375" bestFit="1" customWidth="1"/>
    <col min="4" max="4" width="28.5546875" bestFit="1" customWidth="1"/>
    <col min="5" max="5" width="31.109375" customWidth="1"/>
    <col min="7" max="7" width="17" bestFit="1" customWidth="1"/>
    <col min="11" max="11" width="13.77734375" customWidth="1"/>
    <col min="12" max="12" width="11.33203125" customWidth="1"/>
    <col min="13" max="13" width="31.44140625" customWidth="1"/>
    <col min="14" max="14" width="40.6640625" customWidth="1"/>
    <col min="15" max="15" width="40.21875" customWidth="1"/>
    <col min="28" max="28" width="23.6640625" customWidth="1"/>
    <col min="29" max="29" width="31.5546875" bestFit="1" customWidth="1"/>
    <col min="32" max="32" width="17.33203125" bestFit="1" customWidth="1"/>
    <col min="33" max="33" width="29" bestFit="1" customWidth="1"/>
    <col min="34" max="34" width="25" bestFit="1" customWidth="1"/>
    <col min="35" max="35" width="41.33203125" bestFit="1" customWidth="1"/>
  </cols>
  <sheetData>
    <row r="1" spans="2:28" ht="96.6" customHeight="1" x14ac:dyDescent="0.3">
      <c r="C1" s="42" t="s">
        <v>1563</v>
      </c>
      <c r="D1" s="43"/>
      <c r="E1" s="43"/>
      <c r="F1" s="43"/>
      <c r="G1" s="43"/>
      <c r="H1" s="43"/>
      <c r="I1" s="43"/>
      <c r="J1" s="43"/>
      <c r="K1" s="43"/>
      <c r="L1" s="43"/>
      <c r="M1" s="43"/>
      <c r="N1" s="43"/>
      <c r="O1" s="43"/>
      <c r="P1" s="43"/>
      <c r="Q1" s="43"/>
      <c r="R1" s="43"/>
      <c r="S1" s="43"/>
      <c r="T1" s="43"/>
      <c r="U1" s="43"/>
      <c r="V1" s="43"/>
      <c r="W1" s="43"/>
      <c r="X1" s="18"/>
    </row>
    <row r="2" spans="2:28" ht="54.6" customHeight="1" x14ac:dyDescent="0.3">
      <c r="B2" s="36"/>
      <c r="C2" s="44" t="s">
        <v>1564</v>
      </c>
      <c r="D2" s="44"/>
      <c r="E2" s="44"/>
      <c r="F2" s="44"/>
      <c r="G2" s="44"/>
      <c r="H2" s="44"/>
      <c r="I2" s="44"/>
      <c r="J2" s="17"/>
      <c r="K2" s="17"/>
      <c r="L2" s="17"/>
      <c r="M2" s="48" t="s">
        <v>1569</v>
      </c>
      <c r="N2" s="49"/>
      <c r="O2" s="49"/>
      <c r="P2" s="49"/>
      <c r="Q2" s="49"/>
      <c r="R2" s="49"/>
      <c r="S2" s="49"/>
      <c r="T2" s="49"/>
      <c r="U2" s="49"/>
      <c r="V2" s="49"/>
      <c r="W2" s="49"/>
      <c r="X2" s="49"/>
    </row>
    <row r="3" spans="2:28" ht="32.4" customHeight="1" x14ac:dyDescent="0.3">
      <c r="C3" s="13"/>
      <c r="D3" s="13"/>
      <c r="E3" s="13"/>
      <c r="F3" s="13"/>
      <c r="G3" s="13"/>
      <c r="H3" s="13"/>
      <c r="I3" s="13"/>
      <c r="J3" s="13"/>
      <c r="K3" s="13"/>
      <c r="L3" s="13"/>
      <c r="M3" s="17"/>
      <c r="N3" s="17"/>
      <c r="O3" s="17"/>
      <c r="P3" s="17"/>
      <c r="Q3" s="17"/>
      <c r="R3" s="17"/>
      <c r="S3" s="17"/>
      <c r="T3" s="17"/>
      <c r="U3" s="17"/>
      <c r="V3" s="17"/>
      <c r="W3" s="17"/>
      <c r="X3" s="17"/>
      <c r="AB3">
        <f>ABS(N7-O7)</f>
        <v>66056.539999999994</v>
      </c>
    </row>
    <row r="4" spans="2:28" ht="36.6" customHeight="1" thickBot="1" x14ac:dyDescent="0.35">
      <c r="C4" s="13"/>
      <c r="D4" s="13"/>
      <c r="E4" s="13"/>
      <c r="F4" s="13"/>
      <c r="G4" s="13"/>
      <c r="H4" s="13"/>
      <c r="I4" s="13"/>
      <c r="J4" s="13"/>
      <c r="K4" s="13"/>
      <c r="L4" s="13"/>
      <c r="M4" s="17"/>
      <c r="N4" s="17"/>
      <c r="O4" s="17"/>
      <c r="P4" s="17"/>
      <c r="Q4" s="17"/>
      <c r="R4" s="17"/>
      <c r="S4" s="17"/>
      <c r="T4" s="17"/>
      <c r="U4" s="17"/>
      <c r="V4" s="17"/>
      <c r="W4" s="17"/>
      <c r="X4" s="17"/>
      <c r="AB4" s="11">
        <f>ABS(N8-O8)</f>
        <v>24083044001</v>
      </c>
    </row>
    <row r="5" spans="2:28" ht="28.8" x14ac:dyDescent="0.55000000000000004">
      <c r="C5" s="13"/>
      <c r="D5" s="13"/>
      <c r="E5" s="13"/>
      <c r="F5" s="13"/>
      <c r="G5" s="13"/>
      <c r="H5" s="13"/>
      <c r="I5" s="13"/>
      <c r="J5" s="13"/>
      <c r="K5" s="13"/>
      <c r="L5" s="13"/>
      <c r="M5" s="19" t="s">
        <v>0</v>
      </c>
      <c r="N5" s="20" t="s">
        <v>18</v>
      </c>
      <c r="O5" s="21" t="s">
        <v>27</v>
      </c>
      <c r="P5" s="17"/>
      <c r="Q5" s="17"/>
      <c r="R5" s="17"/>
      <c r="S5" s="17"/>
      <c r="T5" s="17"/>
      <c r="U5" s="17"/>
      <c r="V5" s="17"/>
      <c r="W5" s="17"/>
      <c r="X5" s="17"/>
      <c r="AB5" s="11">
        <f>ABS(N9-O9)</f>
        <v>1113390756048</v>
      </c>
    </row>
    <row r="6" spans="2:28" ht="28.8" x14ac:dyDescent="0.55000000000000004">
      <c r="C6" s="13"/>
      <c r="D6" s="13"/>
      <c r="E6" s="13"/>
      <c r="F6" s="13"/>
      <c r="G6" s="13"/>
      <c r="H6" s="13"/>
      <c r="I6" s="13"/>
      <c r="J6" s="13"/>
      <c r="K6" s="13"/>
      <c r="L6" s="13"/>
      <c r="M6" s="22" t="s">
        <v>1</v>
      </c>
      <c r="N6" s="23" t="str">
        <f>_xlfn.XLOOKUP(N5,'Cleaned_Data'!A:A,'Cleaned_Data'!B:B)</f>
        <v>BTC</v>
      </c>
      <c r="O6" s="24" t="str">
        <f>_xlfn.XLOOKUP(O5,'Cleaned_Data'!A:A,'Cleaned_Data'!B:B)</f>
        <v>ETH</v>
      </c>
      <c r="P6" s="17"/>
      <c r="Q6" s="17"/>
      <c r="R6" s="17"/>
      <c r="S6" s="17"/>
      <c r="T6" s="17"/>
      <c r="U6" s="17"/>
      <c r="V6" s="17"/>
      <c r="W6" s="17"/>
      <c r="X6" s="17"/>
      <c r="AB6" s="11">
        <f>ABS(N10-O10)</f>
        <v>100700000</v>
      </c>
    </row>
    <row r="7" spans="2:28" ht="28.8" x14ac:dyDescent="0.55000000000000004">
      <c r="C7" s="13"/>
      <c r="D7" s="13"/>
      <c r="E7" s="13"/>
      <c r="F7" s="13"/>
      <c r="G7" s="13"/>
      <c r="H7" s="13"/>
      <c r="I7" s="13"/>
      <c r="J7" s="13"/>
      <c r="K7" s="13"/>
      <c r="L7" s="13"/>
      <c r="M7" s="22" t="s">
        <v>1552</v>
      </c>
      <c r="N7" s="23">
        <f>_xlfn.XLOOKUP(N5,'Cleaned_Data'!A:A,'Cleaned_Data'!C:C)</f>
        <v>68106.12</v>
      </c>
      <c r="O7" s="25">
        <f>_xlfn.XLOOKUP(O5,'Cleaned_Data'!A:A,'Cleaned_Data'!C:C)</f>
        <v>2049.58</v>
      </c>
      <c r="P7" s="17"/>
      <c r="Q7" s="17"/>
      <c r="R7" s="17"/>
      <c r="S7" s="17"/>
      <c r="T7" s="17"/>
      <c r="U7" s="17"/>
      <c r="V7" s="17"/>
      <c r="W7" s="17"/>
      <c r="X7" s="17"/>
    </row>
    <row r="8" spans="2:28" ht="28.8" x14ac:dyDescent="0.55000000000000004">
      <c r="C8" s="13"/>
      <c r="D8" s="13"/>
      <c r="E8" s="13"/>
      <c r="F8" s="13"/>
      <c r="G8" s="13"/>
      <c r="H8" s="13"/>
      <c r="I8" s="13"/>
      <c r="J8" s="13"/>
      <c r="K8" s="13"/>
      <c r="L8" s="13"/>
      <c r="M8" s="22" t="s">
        <v>1558</v>
      </c>
      <c r="N8" s="26">
        <f>_xlfn.XLOOKUP(N5,'Cleaned_Data'!A:A,'Cleaned_Data'!H:H)</f>
        <v>55110655820</v>
      </c>
      <c r="O8" s="27">
        <f>_xlfn.XLOOKUP(O5,'Cleaned_Data'!A:A,'Cleaned_Data'!H:H)</f>
        <v>31027611819</v>
      </c>
      <c r="P8" s="17"/>
      <c r="Q8" s="17"/>
      <c r="R8" s="17"/>
      <c r="S8" s="17"/>
      <c r="T8" s="17"/>
      <c r="U8" s="17"/>
      <c r="V8" s="17"/>
      <c r="W8" s="17"/>
      <c r="X8" s="17"/>
    </row>
    <row r="9" spans="2:28" ht="28.8" x14ac:dyDescent="0.55000000000000004">
      <c r="C9" s="13"/>
      <c r="D9" s="13"/>
      <c r="E9" s="13"/>
      <c r="F9" s="13"/>
      <c r="G9" s="13"/>
      <c r="H9" s="13"/>
      <c r="I9" s="13"/>
      <c r="J9" s="13"/>
      <c r="K9" s="13"/>
      <c r="L9" s="13"/>
      <c r="M9" s="22" t="s">
        <v>6</v>
      </c>
      <c r="N9" s="26">
        <f>_xlfn.XLOOKUP(N5,'Cleaned_Data'!A:A,'Cleaned_Data'!G:G)</f>
        <v>1360805946728</v>
      </c>
      <c r="O9" s="27">
        <f>_xlfn.XLOOKUP(O5,'Cleaned_Data'!A:A,'Cleaned_Data'!G:G)</f>
        <v>247415190680</v>
      </c>
      <c r="P9" s="17"/>
      <c r="Q9" s="17"/>
      <c r="R9" s="17"/>
      <c r="S9" s="17"/>
      <c r="T9" s="17"/>
      <c r="U9" s="17"/>
      <c r="V9" s="17"/>
      <c r="W9" s="17"/>
      <c r="X9" s="17"/>
    </row>
    <row r="10" spans="2:28" ht="29.4" thickBot="1" x14ac:dyDescent="0.6">
      <c r="C10" s="13"/>
      <c r="D10" s="13"/>
      <c r="E10" s="13"/>
      <c r="F10" s="13"/>
      <c r="G10" s="13"/>
      <c r="H10" s="13"/>
      <c r="I10" s="13"/>
      <c r="J10" s="13"/>
      <c r="K10" s="13"/>
      <c r="L10" s="13"/>
      <c r="M10" s="28" t="s">
        <v>8</v>
      </c>
      <c r="N10" s="29">
        <f>_xlfn.XLOOKUP(N5,'Cleaned_Data'!A:A,'Cleaned_Data'!I:I)</f>
        <v>19990000</v>
      </c>
      <c r="O10" s="30">
        <f>_xlfn.XLOOKUP(O5,'Cleaned_Data'!A:A,'Cleaned_Data'!I:I)</f>
        <v>120690000</v>
      </c>
      <c r="P10" s="17"/>
      <c r="Q10" s="17"/>
      <c r="R10" s="17"/>
      <c r="S10" s="17"/>
      <c r="T10" s="17"/>
      <c r="U10" s="17"/>
      <c r="V10" s="17"/>
      <c r="W10" s="17"/>
      <c r="X10" s="17"/>
    </row>
    <row r="11" spans="2:28" x14ac:dyDescent="0.3">
      <c r="C11" s="13"/>
      <c r="D11" s="13"/>
      <c r="E11" s="13"/>
      <c r="F11" s="13"/>
      <c r="G11" s="13"/>
      <c r="H11" s="13"/>
      <c r="I11" s="13"/>
      <c r="J11" s="13"/>
      <c r="K11" s="13"/>
      <c r="L11" s="13"/>
      <c r="M11" s="17"/>
      <c r="N11" s="17"/>
      <c r="O11" s="17"/>
      <c r="P11" s="17"/>
      <c r="Q11" s="17"/>
      <c r="R11" s="17"/>
      <c r="S11" s="17"/>
      <c r="T11" s="17"/>
      <c r="U11" s="17"/>
      <c r="V11" s="17"/>
      <c r="W11" s="17"/>
      <c r="X11" s="17"/>
    </row>
    <row r="12" spans="2:28" ht="34.799999999999997" customHeight="1" x14ac:dyDescent="0.3">
      <c r="C12" s="13"/>
      <c r="D12" s="13"/>
      <c r="E12" s="13"/>
      <c r="F12" s="13"/>
      <c r="G12" s="13"/>
      <c r="H12" s="13"/>
      <c r="I12" s="13"/>
      <c r="J12" s="13"/>
      <c r="K12" s="13"/>
      <c r="L12" s="13"/>
      <c r="M12" s="17"/>
      <c r="N12" s="17"/>
      <c r="O12" s="17"/>
      <c r="P12" s="17"/>
      <c r="Q12" s="17"/>
      <c r="R12" s="17"/>
      <c r="S12" s="17"/>
      <c r="T12" s="17"/>
      <c r="U12" s="17"/>
      <c r="V12" s="17"/>
      <c r="W12" s="17"/>
      <c r="X12" s="17"/>
    </row>
    <row r="13" spans="2:28" x14ac:dyDescent="0.3">
      <c r="C13" s="13"/>
      <c r="D13" s="13"/>
      <c r="E13" s="13"/>
      <c r="F13" s="13"/>
      <c r="G13" s="13"/>
      <c r="H13" s="13"/>
      <c r="I13" s="13"/>
      <c r="J13" s="13"/>
      <c r="K13" s="13"/>
      <c r="L13" s="13"/>
      <c r="M13" s="17"/>
      <c r="N13" s="17"/>
      <c r="O13" s="17"/>
      <c r="P13" s="17"/>
      <c r="Q13" s="17"/>
      <c r="R13" s="17"/>
      <c r="S13" s="17"/>
      <c r="T13" s="17"/>
      <c r="U13" s="17"/>
      <c r="V13" s="17"/>
      <c r="W13" s="17"/>
      <c r="X13" s="17"/>
    </row>
    <row r="14" spans="2:28" x14ac:dyDescent="0.3">
      <c r="C14" s="13"/>
      <c r="D14" s="13"/>
      <c r="E14" s="13"/>
      <c r="F14" s="13"/>
      <c r="G14" s="13"/>
      <c r="H14" s="13"/>
      <c r="I14" s="13"/>
      <c r="J14" s="13"/>
      <c r="K14" s="13"/>
      <c r="L14" s="13"/>
      <c r="M14" s="17"/>
      <c r="N14" s="17"/>
      <c r="O14" s="17"/>
      <c r="P14" s="17"/>
      <c r="Q14" s="17"/>
      <c r="R14" s="17"/>
      <c r="S14" s="17"/>
      <c r="T14" s="17"/>
      <c r="U14" s="17"/>
      <c r="V14" s="17"/>
      <c r="W14" s="17"/>
      <c r="X14" s="17"/>
    </row>
    <row r="15" spans="2:28" x14ac:dyDescent="0.3">
      <c r="C15" s="13"/>
      <c r="D15" s="13"/>
      <c r="E15" s="13"/>
      <c r="F15" s="13"/>
      <c r="G15" s="13"/>
      <c r="H15" s="13"/>
      <c r="I15" s="13"/>
      <c r="J15" s="13"/>
      <c r="K15" s="13"/>
      <c r="L15" s="13"/>
      <c r="M15" s="17"/>
      <c r="N15" s="17"/>
      <c r="O15" s="17"/>
      <c r="P15" s="17"/>
      <c r="Q15" s="17"/>
      <c r="R15" s="17"/>
      <c r="S15" s="17"/>
      <c r="T15" s="17"/>
      <c r="U15" s="17"/>
      <c r="V15" s="17"/>
      <c r="W15" s="17"/>
      <c r="X15" s="17"/>
    </row>
    <row r="16" spans="2:28" x14ac:dyDescent="0.3">
      <c r="C16" s="13"/>
      <c r="D16" s="13"/>
      <c r="E16" s="13"/>
      <c r="F16" s="13"/>
      <c r="G16" s="13"/>
      <c r="H16" s="13"/>
      <c r="I16" s="13"/>
      <c r="J16" s="13"/>
      <c r="K16" s="13"/>
      <c r="L16" s="13"/>
      <c r="M16" s="17"/>
      <c r="N16" s="17"/>
      <c r="O16" s="17"/>
      <c r="P16" s="17"/>
      <c r="Q16" s="17"/>
      <c r="R16" s="17"/>
      <c r="S16" s="17"/>
      <c r="T16" s="17"/>
      <c r="U16" s="17"/>
      <c r="V16" s="17"/>
      <c r="W16" s="17"/>
      <c r="X16" s="17"/>
    </row>
    <row r="17" spans="3:24" ht="14.4" customHeight="1" x14ac:dyDescent="0.3">
      <c r="C17" s="34"/>
      <c r="D17" s="35"/>
      <c r="E17" s="35"/>
      <c r="F17" s="35"/>
      <c r="G17" s="35"/>
      <c r="H17" s="35"/>
      <c r="I17" s="35"/>
      <c r="J17" s="35"/>
      <c r="K17" s="35"/>
      <c r="L17" s="35"/>
      <c r="M17" s="17"/>
      <c r="N17" s="17"/>
      <c r="O17" s="17"/>
      <c r="P17" s="17"/>
      <c r="Q17" s="17"/>
      <c r="R17" s="17"/>
      <c r="S17" s="17"/>
      <c r="T17" s="17"/>
      <c r="U17" s="17"/>
      <c r="V17" s="17"/>
      <c r="W17" s="17"/>
      <c r="X17" s="17"/>
    </row>
    <row r="18" spans="3:24" ht="14.4" customHeight="1" x14ac:dyDescent="0.3">
      <c r="C18" s="46" t="s">
        <v>1565</v>
      </c>
      <c r="D18" s="50"/>
      <c r="E18" s="50"/>
      <c r="F18" s="50"/>
      <c r="G18" s="50"/>
      <c r="H18" s="50"/>
      <c r="I18" s="50"/>
      <c r="J18" s="50"/>
      <c r="K18" s="50"/>
      <c r="L18" s="35"/>
      <c r="M18" s="46" t="s">
        <v>1568</v>
      </c>
      <c r="N18" s="46"/>
      <c r="O18" s="46"/>
      <c r="P18" s="13"/>
      <c r="Q18" s="13"/>
      <c r="R18" s="13"/>
      <c r="S18" s="13"/>
      <c r="T18" s="13"/>
      <c r="U18" s="13"/>
      <c r="V18" s="13"/>
      <c r="W18" s="13"/>
      <c r="X18" s="13"/>
    </row>
    <row r="19" spans="3:24" ht="14.4" customHeight="1" x14ac:dyDescent="0.3">
      <c r="C19" s="50"/>
      <c r="D19" s="50"/>
      <c r="E19" s="50"/>
      <c r="F19" s="50"/>
      <c r="G19" s="50"/>
      <c r="H19" s="50"/>
      <c r="I19" s="50"/>
      <c r="J19" s="50"/>
      <c r="K19" s="50"/>
      <c r="L19" s="35"/>
      <c r="M19" s="46"/>
      <c r="N19" s="46"/>
      <c r="O19" s="46"/>
      <c r="P19" s="13"/>
      <c r="Q19" s="13"/>
      <c r="R19" s="13"/>
      <c r="S19" s="13"/>
      <c r="T19" s="13"/>
      <c r="U19" s="13"/>
      <c r="V19" s="13"/>
      <c r="W19" s="13"/>
      <c r="X19" s="13"/>
    </row>
    <row r="20" spans="3:24" ht="14.4" customHeight="1" x14ac:dyDescent="0.3">
      <c r="C20" s="50"/>
      <c r="D20" s="50"/>
      <c r="E20" s="50"/>
      <c r="F20" s="50"/>
      <c r="G20" s="50"/>
      <c r="H20" s="50"/>
      <c r="I20" s="50"/>
      <c r="J20" s="50"/>
      <c r="K20" s="50"/>
      <c r="L20" s="35"/>
      <c r="M20" s="46"/>
      <c r="N20" s="46"/>
      <c r="O20" s="46"/>
      <c r="P20" s="13"/>
      <c r="Q20" s="13"/>
      <c r="R20" s="13"/>
      <c r="S20" s="13"/>
      <c r="T20" s="13"/>
      <c r="U20" s="13"/>
      <c r="V20" s="13"/>
      <c r="W20" s="13"/>
      <c r="X20" s="13"/>
    </row>
    <row r="21" spans="3:24" ht="14.4" customHeight="1" x14ac:dyDescent="0.3">
      <c r="C21" s="35"/>
      <c r="D21" s="35"/>
      <c r="E21" s="35"/>
      <c r="F21" s="35"/>
      <c r="G21" s="35"/>
      <c r="H21" s="35"/>
      <c r="I21" s="35"/>
      <c r="J21" s="35"/>
      <c r="K21" s="35"/>
      <c r="L21" s="35"/>
      <c r="M21" s="46"/>
      <c r="N21" s="46"/>
      <c r="O21" s="46"/>
      <c r="P21" s="13"/>
      <c r="Q21" s="13"/>
      <c r="R21" s="13"/>
      <c r="S21" s="13"/>
      <c r="T21" s="13"/>
      <c r="U21" s="13"/>
      <c r="V21" s="13"/>
      <c r="W21" s="13"/>
      <c r="X21" s="13"/>
    </row>
    <row r="22" spans="3:24" ht="14.4" customHeight="1" x14ac:dyDescent="0.3">
      <c r="C22" s="35"/>
      <c r="D22" s="35"/>
      <c r="E22" s="35"/>
      <c r="F22" s="35"/>
      <c r="G22" s="35"/>
      <c r="H22" s="35"/>
      <c r="I22" s="35"/>
      <c r="J22" s="35"/>
      <c r="K22" s="35"/>
      <c r="L22" s="35"/>
      <c r="M22" s="31"/>
      <c r="N22" s="31"/>
      <c r="O22" s="32"/>
      <c r="P22" s="13"/>
      <c r="Q22" s="13"/>
      <c r="R22" s="13"/>
      <c r="S22" s="13"/>
      <c r="T22" s="13"/>
      <c r="U22" s="13"/>
      <c r="V22" s="13"/>
      <c r="W22" s="13"/>
      <c r="X22" s="13"/>
    </row>
    <row r="23" spans="3:24" x14ac:dyDescent="0.3">
      <c r="C23" s="13"/>
      <c r="D23" s="13"/>
      <c r="E23" s="13"/>
      <c r="F23" s="13"/>
      <c r="G23" s="13"/>
      <c r="H23" s="13"/>
      <c r="I23" s="13"/>
      <c r="J23" s="13"/>
      <c r="K23" s="13"/>
      <c r="L23" s="13"/>
      <c r="M23" s="13"/>
      <c r="N23" s="13"/>
      <c r="O23" s="13"/>
      <c r="P23" s="13"/>
      <c r="Q23" s="13"/>
      <c r="R23" s="13"/>
      <c r="S23" s="13"/>
      <c r="T23" s="13"/>
      <c r="U23" s="13"/>
      <c r="V23" s="13"/>
      <c r="W23" s="13"/>
      <c r="X23" s="13"/>
    </row>
    <row r="24" spans="3:24" x14ac:dyDescent="0.3">
      <c r="C24" s="13"/>
      <c r="D24" s="13"/>
      <c r="E24" s="13"/>
      <c r="F24" s="13"/>
      <c r="G24" s="13"/>
      <c r="H24" s="13"/>
      <c r="I24" s="13"/>
      <c r="J24" s="13"/>
      <c r="K24" s="13"/>
      <c r="L24" s="13"/>
      <c r="M24" s="13"/>
      <c r="N24" s="13"/>
      <c r="O24" s="13"/>
      <c r="P24" s="13"/>
      <c r="Q24" s="13"/>
      <c r="R24" s="13"/>
      <c r="S24" s="13"/>
      <c r="T24" s="13"/>
      <c r="U24" s="13"/>
      <c r="V24" s="13"/>
      <c r="W24" s="13"/>
      <c r="X24" s="13"/>
    </row>
    <row r="25" spans="3:24" x14ac:dyDescent="0.3">
      <c r="C25" s="13"/>
      <c r="D25" s="13"/>
      <c r="E25" s="13"/>
      <c r="F25" s="13"/>
      <c r="G25" s="13"/>
      <c r="H25" s="13"/>
      <c r="I25" s="13"/>
      <c r="J25" s="13"/>
      <c r="K25" s="13"/>
      <c r="L25" s="13"/>
      <c r="M25" s="13"/>
      <c r="N25" s="13"/>
      <c r="O25" s="13"/>
      <c r="P25" s="13"/>
      <c r="Q25" s="13"/>
      <c r="R25" s="13"/>
      <c r="S25" s="13"/>
      <c r="T25" s="13"/>
      <c r="U25" s="13"/>
      <c r="V25" s="13"/>
      <c r="W25" s="13"/>
      <c r="X25" s="13"/>
    </row>
    <row r="26" spans="3:24" x14ac:dyDescent="0.3">
      <c r="C26" s="13"/>
      <c r="D26" s="13"/>
      <c r="E26" s="13"/>
      <c r="F26" s="13"/>
      <c r="G26" s="13"/>
      <c r="H26" s="13"/>
      <c r="I26" s="13"/>
      <c r="J26" s="13"/>
      <c r="K26" s="13"/>
      <c r="L26" s="13"/>
      <c r="M26" s="13"/>
      <c r="N26" s="13"/>
      <c r="O26" s="13"/>
      <c r="P26" s="13"/>
      <c r="Q26" s="13"/>
      <c r="R26" s="13"/>
      <c r="S26" s="13"/>
      <c r="T26" s="13"/>
      <c r="U26" s="13"/>
      <c r="V26" s="13"/>
      <c r="W26" s="13"/>
      <c r="X26" s="13"/>
    </row>
    <row r="27" spans="3:24" x14ac:dyDescent="0.3">
      <c r="C27" s="13"/>
      <c r="D27" s="13"/>
      <c r="E27" s="13"/>
      <c r="F27" s="13"/>
      <c r="G27" s="13"/>
      <c r="H27" s="13"/>
      <c r="I27" s="13"/>
      <c r="J27" s="13"/>
      <c r="K27" s="13"/>
      <c r="L27" s="13"/>
      <c r="M27" s="13"/>
      <c r="N27" s="13"/>
      <c r="O27" s="13"/>
      <c r="P27" s="13"/>
      <c r="Q27" s="13"/>
      <c r="R27" s="13"/>
      <c r="S27" s="13"/>
      <c r="T27" s="13"/>
      <c r="U27" s="13"/>
      <c r="V27" s="13"/>
      <c r="W27" s="13"/>
      <c r="X27" s="13"/>
    </row>
    <row r="28" spans="3:24" x14ac:dyDescent="0.3">
      <c r="C28" s="13"/>
      <c r="D28" s="13"/>
      <c r="E28" s="13"/>
      <c r="F28" s="13"/>
      <c r="G28" s="13"/>
      <c r="H28" s="13"/>
      <c r="I28" s="13"/>
      <c r="J28" s="13"/>
      <c r="K28" s="13"/>
      <c r="L28" s="13"/>
      <c r="M28" s="13"/>
      <c r="N28" s="13"/>
      <c r="O28" s="13"/>
      <c r="P28" s="13"/>
      <c r="Q28" s="13"/>
      <c r="R28" s="13"/>
      <c r="S28" s="13"/>
      <c r="T28" s="13"/>
      <c r="U28" s="13"/>
      <c r="V28" s="13"/>
      <c r="W28" s="13"/>
      <c r="X28" s="13"/>
    </row>
    <row r="29" spans="3:24" x14ac:dyDescent="0.3">
      <c r="C29" s="13"/>
      <c r="D29" s="13"/>
      <c r="E29" s="13"/>
      <c r="F29" s="13"/>
      <c r="G29" s="13"/>
      <c r="H29" s="13"/>
      <c r="I29" s="13"/>
      <c r="J29" s="13"/>
      <c r="K29" s="13"/>
      <c r="L29" s="13"/>
      <c r="M29" s="13"/>
      <c r="N29" s="13"/>
      <c r="O29" s="13"/>
      <c r="P29" s="13"/>
      <c r="Q29" s="13"/>
      <c r="R29" s="13"/>
      <c r="S29" s="13"/>
      <c r="T29" s="13"/>
      <c r="U29" s="13"/>
      <c r="V29" s="13"/>
      <c r="W29" s="13"/>
      <c r="X29" s="13"/>
    </row>
    <row r="30" spans="3:24" x14ac:dyDescent="0.3">
      <c r="C30" s="13"/>
      <c r="D30" s="13"/>
      <c r="E30" s="13"/>
      <c r="F30" s="13"/>
      <c r="G30" s="13"/>
      <c r="H30" s="13"/>
      <c r="I30" s="13"/>
      <c r="J30" s="13"/>
      <c r="K30" s="13"/>
      <c r="L30" s="13"/>
      <c r="M30" s="13"/>
      <c r="N30" s="13"/>
      <c r="O30" s="13"/>
      <c r="P30" s="13"/>
      <c r="Q30" s="13"/>
      <c r="R30" s="13"/>
      <c r="S30" s="13"/>
      <c r="T30" s="13"/>
      <c r="U30" s="13"/>
      <c r="V30" s="13"/>
      <c r="W30" s="13"/>
      <c r="X30" s="13"/>
    </row>
    <row r="31" spans="3:24" x14ac:dyDescent="0.3">
      <c r="C31" s="13"/>
      <c r="D31" s="13"/>
      <c r="E31" s="13"/>
      <c r="F31" s="13"/>
      <c r="G31" s="13"/>
      <c r="H31" s="13"/>
      <c r="I31" s="13"/>
      <c r="J31" s="13"/>
      <c r="K31" s="13"/>
      <c r="L31" s="13"/>
      <c r="M31" s="13"/>
      <c r="N31" s="13"/>
      <c r="O31" s="13"/>
      <c r="P31" s="13"/>
      <c r="Q31" s="13"/>
      <c r="R31" s="13"/>
      <c r="S31" s="13"/>
      <c r="T31" s="13"/>
      <c r="U31" s="13"/>
      <c r="V31" s="13"/>
      <c r="W31" s="13"/>
      <c r="X31" s="13"/>
    </row>
    <row r="32" spans="3:24" x14ac:dyDescent="0.3">
      <c r="C32" s="13"/>
      <c r="D32" s="13"/>
      <c r="E32" s="13"/>
      <c r="F32" s="13"/>
      <c r="G32" s="13"/>
      <c r="H32" s="13"/>
      <c r="I32" s="13"/>
      <c r="J32" s="13"/>
      <c r="K32" s="13"/>
      <c r="L32" s="13"/>
      <c r="M32" s="13"/>
      <c r="N32" s="13"/>
      <c r="O32" s="13"/>
      <c r="P32" s="13"/>
      <c r="Q32" s="13"/>
      <c r="R32" s="13"/>
      <c r="S32" s="13"/>
      <c r="T32" s="13"/>
      <c r="U32" s="13"/>
      <c r="V32" s="13"/>
      <c r="W32" s="13"/>
      <c r="X32" s="13"/>
    </row>
    <row r="33" spans="3:30" x14ac:dyDescent="0.3">
      <c r="C33" s="13"/>
      <c r="D33" s="13"/>
      <c r="E33" s="13"/>
      <c r="F33" s="13"/>
      <c r="G33" s="13"/>
      <c r="H33" s="13"/>
      <c r="I33" s="13"/>
      <c r="J33" s="13"/>
      <c r="K33" s="13"/>
      <c r="L33" s="13"/>
      <c r="M33" s="13"/>
      <c r="N33" s="13"/>
      <c r="O33" s="13"/>
      <c r="P33" s="13"/>
      <c r="Q33" s="13"/>
      <c r="R33" s="13"/>
      <c r="S33" s="13"/>
      <c r="T33" s="13"/>
      <c r="U33" s="13"/>
      <c r="V33" s="13"/>
      <c r="W33" s="13"/>
      <c r="X33" s="13"/>
    </row>
    <row r="34" spans="3:30" x14ac:dyDescent="0.3">
      <c r="C34" s="13"/>
      <c r="D34" s="13"/>
      <c r="E34" s="13"/>
      <c r="F34" s="13"/>
      <c r="G34" s="13"/>
      <c r="H34" s="13"/>
      <c r="I34" s="13"/>
      <c r="J34" s="13"/>
      <c r="K34" s="13"/>
      <c r="L34" s="13"/>
      <c r="M34" s="13"/>
      <c r="N34" s="13"/>
      <c r="O34" s="13"/>
      <c r="P34" s="13"/>
      <c r="Q34" s="13"/>
      <c r="R34" s="13"/>
      <c r="S34" s="13"/>
      <c r="T34" s="13"/>
      <c r="U34" s="13"/>
      <c r="V34" s="13"/>
      <c r="W34" s="13"/>
      <c r="X34" s="13"/>
    </row>
    <row r="35" spans="3:30" x14ac:dyDescent="0.3">
      <c r="C35" s="13"/>
      <c r="D35" s="13"/>
      <c r="E35" s="13"/>
      <c r="F35" s="13"/>
      <c r="G35" s="13"/>
      <c r="H35" s="13"/>
      <c r="I35" s="13"/>
      <c r="J35" s="13"/>
      <c r="K35" s="13"/>
      <c r="L35" s="13"/>
      <c r="M35" s="13"/>
      <c r="N35" s="13"/>
      <c r="O35" s="13"/>
      <c r="P35" s="13"/>
      <c r="Q35" s="13"/>
      <c r="R35" s="13"/>
      <c r="S35" s="13"/>
      <c r="T35" s="13"/>
      <c r="U35" s="13"/>
      <c r="V35" s="13"/>
      <c r="W35" s="13"/>
      <c r="X35" s="13"/>
    </row>
    <row r="36" spans="3:30" x14ac:dyDescent="0.3">
      <c r="C36" s="13"/>
      <c r="D36" s="13"/>
      <c r="E36" s="13"/>
      <c r="F36" s="13"/>
      <c r="G36" s="13"/>
      <c r="H36" s="13"/>
      <c r="I36" s="13"/>
      <c r="J36" s="13"/>
      <c r="K36" s="13"/>
      <c r="L36" s="13"/>
      <c r="M36" s="13"/>
      <c r="N36" s="13"/>
      <c r="O36" s="13"/>
      <c r="P36" s="13"/>
      <c r="Q36" s="13"/>
      <c r="R36" s="13"/>
      <c r="S36" s="13"/>
      <c r="T36" s="13"/>
      <c r="U36" s="13"/>
      <c r="V36" s="13"/>
      <c r="W36" s="13"/>
      <c r="X36" s="13"/>
    </row>
    <row r="37" spans="3:30" x14ac:dyDescent="0.3">
      <c r="C37" s="13"/>
      <c r="D37" s="13"/>
      <c r="E37" s="13"/>
      <c r="F37" s="13"/>
      <c r="G37" s="13"/>
      <c r="H37" s="13"/>
      <c r="I37" s="13"/>
      <c r="J37" s="13"/>
      <c r="K37" s="13"/>
      <c r="L37" s="13"/>
      <c r="M37" s="13"/>
      <c r="N37" s="13"/>
      <c r="O37" s="13"/>
      <c r="P37" s="13"/>
      <c r="Q37" s="13"/>
      <c r="R37" s="13"/>
      <c r="S37" s="13"/>
      <c r="T37" s="13"/>
      <c r="U37" s="13"/>
      <c r="V37" s="13"/>
      <c r="W37" s="13"/>
      <c r="X37" s="13"/>
    </row>
    <row r="38" spans="3:30" x14ac:dyDescent="0.3">
      <c r="C38" s="13"/>
      <c r="D38" s="13"/>
      <c r="E38" s="13"/>
      <c r="F38" s="13"/>
      <c r="G38" s="13"/>
      <c r="H38" s="13"/>
      <c r="I38" s="13"/>
      <c r="J38" s="13"/>
      <c r="K38" s="13"/>
      <c r="L38" s="13"/>
      <c r="M38" s="13"/>
      <c r="N38" s="13"/>
      <c r="O38" s="13"/>
      <c r="P38" s="13"/>
      <c r="Q38" s="13"/>
      <c r="R38" s="13"/>
      <c r="S38" s="13"/>
      <c r="T38" s="13"/>
      <c r="U38" s="13"/>
      <c r="V38" s="13"/>
      <c r="W38" s="13"/>
      <c r="X38" s="13"/>
    </row>
    <row r="39" spans="3:30" x14ac:dyDescent="0.3">
      <c r="C39" s="13"/>
      <c r="D39" s="13"/>
      <c r="E39" s="13"/>
      <c r="F39" s="13"/>
      <c r="G39" s="13"/>
      <c r="H39" s="13"/>
      <c r="I39" s="13"/>
      <c r="J39" s="13"/>
      <c r="K39" s="13"/>
      <c r="L39" s="13"/>
      <c r="M39" s="13"/>
      <c r="N39" s="13"/>
      <c r="O39" s="13"/>
      <c r="P39" s="13"/>
      <c r="Q39" s="13"/>
      <c r="R39" s="13"/>
      <c r="S39" s="13"/>
      <c r="T39" s="13"/>
      <c r="U39" s="13"/>
      <c r="V39" s="13"/>
      <c r="W39" s="13"/>
      <c r="X39" s="13"/>
    </row>
    <row r="40" spans="3:30" x14ac:dyDescent="0.3">
      <c r="C40" s="13"/>
      <c r="D40" s="13"/>
      <c r="E40" s="13"/>
      <c r="F40" s="13"/>
      <c r="G40" s="13"/>
      <c r="H40" s="13"/>
      <c r="I40" s="13"/>
      <c r="J40" s="13"/>
      <c r="K40" s="13"/>
      <c r="L40" s="13"/>
      <c r="M40" s="13"/>
      <c r="N40" s="13"/>
      <c r="O40" s="13"/>
      <c r="P40" s="13"/>
      <c r="Q40" s="13"/>
      <c r="R40" s="13"/>
      <c r="S40" s="13"/>
      <c r="T40" s="13"/>
      <c r="U40" s="13"/>
      <c r="V40" s="13"/>
      <c r="W40" s="13"/>
      <c r="X40" s="13"/>
    </row>
    <row r="41" spans="3:30" x14ac:dyDescent="0.3">
      <c r="C41" s="13"/>
      <c r="D41" s="13"/>
      <c r="E41" s="13"/>
      <c r="F41" s="13"/>
      <c r="G41" s="13"/>
      <c r="H41" s="13"/>
      <c r="I41" s="13"/>
      <c r="J41" s="13"/>
      <c r="K41" s="13"/>
      <c r="L41" s="13"/>
      <c r="M41" s="13"/>
      <c r="N41" s="13"/>
      <c r="O41" s="13"/>
      <c r="P41" s="13"/>
      <c r="Q41" s="13"/>
      <c r="R41" s="13"/>
      <c r="S41" s="13"/>
      <c r="T41" s="13"/>
      <c r="U41" s="13"/>
      <c r="V41" s="13"/>
      <c r="W41" s="13"/>
      <c r="X41" s="13"/>
    </row>
    <row r="42" spans="3:30" x14ac:dyDescent="0.3">
      <c r="C42" s="13"/>
      <c r="D42" s="13"/>
      <c r="E42" s="13"/>
      <c r="F42" s="13"/>
      <c r="G42" s="13"/>
      <c r="H42" s="13"/>
      <c r="I42" s="13"/>
      <c r="J42" s="13"/>
      <c r="K42" s="13"/>
      <c r="L42" s="13"/>
      <c r="M42" s="13"/>
      <c r="N42" s="13"/>
      <c r="O42" s="13"/>
      <c r="P42" s="13"/>
      <c r="Q42" s="13"/>
      <c r="R42" s="13"/>
      <c r="S42" s="13"/>
      <c r="T42" s="13"/>
      <c r="U42" s="13"/>
      <c r="V42" s="13"/>
      <c r="W42" s="13"/>
      <c r="X42" s="13"/>
    </row>
    <row r="43" spans="3:30" x14ac:dyDescent="0.3">
      <c r="C43" s="13"/>
      <c r="D43" s="13"/>
      <c r="E43" s="13"/>
      <c r="F43" s="13"/>
      <c r="G43" s="13"/>
      <c r="H43" s="13"/>
      <c r="I43" s="13"/>
      <c r="J43" s="13"/>
      <c r="K43" s="13"/>
      <c r="L43" s="13"/>
      <c r="M43" s="33"/>
      <c r="N43" s="33"/>
      <c r="O43" s="33"/>
      <c r="P43" s="33"/>
      <c r="Q43" s="33"/>
      <c r="R43" s="33"/>
      <c r="S43" s="33"/>
      <c r="T43" s="33"/>
      <c r="U43" s="33"/>
      <c r="V43" s="33"/>
      <c r="W43" s="33"/>
      <c r="X43" s="33"/>
    </row>
    <row r="44" spans="3:30" x14ac:dyDescent="0.3">
      <c r="C44" s="13"/>
      <c r="D44" s="13"/>
      <c r="E44" s="13"/>
      <c r="F44" s="13"/>
      <c r="G44" s="13"/>
      <c r="H44" s="13"/>
      <c r="I44" s="13"/>
      <c r="J44" s="13"/>
      <c r="K44" s="13"/>
      <c r="L44" s="13"/>
      <c r="M44" s="33"/>
      <c r="N44" s="33"/>
      <c r="O44" s="33"/>
      <c r="P44" s="33"/>
      <c r="Q44" s="33"/>
      <c r="R44" s="33"/>
      <c r="S44" s="33"/>
      <c r="T44" s="33"/>
      <c r="U44" s="33"/>
      <c r="V44" s="33"/>
      <c r="W44" s="33"/>
      <c r="X44" s="33"/>
    </row>
    <row r="45" spans="3:30" ht="53.4" customHeight="1" x14ac:dyDescent="0.3">
      <c r="C45" s="13"/>
      <c r="D45" s="13"/>
      <c r="E45" s="13"/>
      <c r="F45" s="13"/>
      <c r="G45" s="13"/>
      <c r="H45" s="13"/>
      <c r="I45" s="13"/>
      <c r="J45" s="13"/>
      <c r="K45" s="13"/>
      <c r="L45" s="13"/>
      <c r="M45" s="33"/>
      <c r="N45" s="46" t="s">
        <v>1567</v>
      </c>
      <c r="O45" s="47"/>
      <c r="P45" s="47"/>
      <c r="Q45" s="47"/>
      <c r="R45" s="47"/>
      <c r="S45" s="47"/>
      <c r="T45" s="47"/>
      <c r="U45" s="47"/>
      <c r="V45" s="47"/>
      <c r="W45" s="33"/>
      <c r="X45" s="33"/>
    </row>
    <row r="46" spans="3:30" x14ac:dyDescent="0.3">
      <c r="C46" s="13"/>
      <c r="D46" s="13"/>
      <c r="E46" s="13"/>
      <c r="F46" s="13"/>
      <c r="G46" s="13"/>
      <c r="H46" s="13"/>
      <c r="I46" s="13"/>
      <c r="J46" s="13"/>
      <c r="K46" s="13"/>
      <c r="L46" s="13"/>
      <c r="M46" s="33"/>
      <c r="N46" s="33"/>
      <c r="O46" s="33"/>
      <c r="P46" s="33"/>
      <c r="Q46" s="33"/>
      <c r="R46" s="33"/>
      <c r="S46" s="33"/>
      <c r="T46" s="33"/>
      <c r="U46" s="33"/>
      <c r="V46" s="33"/>
      <c r="W46" s="33"/>
      <c r="X46" s="33"/>
    </row>
    <row r="47" spans="3:30" ht="14.4" customHeight="1" x14ac:dyDescent="0.3">
      <c r="C47" s="13"/>
      <c r="D47" s="45" t="s">
        <v>1566</v>
      </c>
      <c r="E47" s="45"/>
      <c r="F47" s="45"/>
      <c r="G47" s="45"/>
      <c r="H47" s="45"/>
      <c r="I47" s="45"/>
      <c r="J47" s="45"/>
      <c r="K47" s="13"/>
      <c r="L47" s="13"/>
      <c r="M47" s="33"/>
      <c r="N47" s="35"/>
      <c r="O47" s="35"/>
      <c r="P47" s="35"/>
      <c r="Q47" s="35"/>
      <c r="R47" s="35"/>
      <c r="S47" s="35"/>
      <c r="T47" s="35"/>
      <c r="U47" s="35"/>
      <c r="V47" s="35"/>
      <c r="W47" s="35"/>
      <c r="X47" s="33"/>
      <c r="AB47" s="51"/>
      <c r="AC47" s="52"/>
      <c r="AD47" s="53"/>
    </row>
    <row r="48" spans="3:30" ht="14.4" customHeight="1" x14ac:dyDescent="0.3">
      <c r="C48" s="13"/>
      <c r="D48" s="45"/>
      <c r="E48" s="45"/>
      <c r="F48" s="45"/>
      <c r="G48" s="45"/>
      <c r="H48" s="45"/>
      <c r="I48" s="45"/>
      <c r="J48" s="45"/>
      <c r="K48" s="13"/>
      <c r="L48" s="13"/>
      <c r="M48" s="33"/>
      <c r="N48" s="35"/>
      <c r="O48" s="35"/>
      <c r="P48" s="35"/>
      <c r="Q48" s="35"/>
      <c r="R48" s="35"/>
      <c r="S48" s="35"/>
      <c r="T48" s="35"/>
      <c r="U48" s="35"/>
      <c r="V48" s="35"/>
      <c r="W48" s="35"/>
      <c r="X48" s="33"/>
      <c r="AB48" s="54"/>
      <c r="AC48" s="55"/>
      <c r="AD48" s="56"/>
    </row>
    <row r="49" spans="3:30" ht="14.4" customHeight="1" x14ac:dyDescent="0.3">
      <c r="C49" s="13"/>
      <c r="D49" s="45"/>
      <c r="E49" s="45"/>
      <c r="F49" s="45"/>
      <c r="G49" s="45"/>
      <c r="H49" s="45"/>
      <c r="I49" s="45"/>
      <c r="J49" s="45"/>
      <c r="K49" s="13"/>
      <c r="L49" s="13"/>
      <c r="M49" s="33"/>
      <c r="N49" s="35"/>
      <c r="O49" s="35"/>
      <c r="P49" s="35"/>
      <c r="Q49" s="35"/>
      <c r="R49" s="35"/>
      <c r="S49" s="35"/>
      <c r="T49" s="35"/>
      <c r="U49" s="35"/>
      <c r="V49" s="35"/>
      <c r="W49" s="35"/>
      <c r="X49" s="33"/>
      <c r="AB49" s="54"/>
      <c r="AC49" s="55"/>
      <c r="AD49" s="56"/>
    </row>
    <row r="50" spans="3:30" x14ac:dyDescent="0.3">
      <c r="C50" s="13"/>
      <c r="D50" s="45"/>
      <c r="E50" s="45"/>
      <c r="F50" s="45"/>
      <c r="G50" s="45"/>
      <c r="H50" s="45"/>
      <c r="I50" s="45"/>
      <c r="J50" s="45"/>
      <c r="K50" s="13"/>
      <c r="L50" s="13"/>
      <c r="M50" s="13"/>
      <c r="N50" s="13"/>
      <c r="O50" s="13"/>
      <c r="P50" s="13"/>
      <c r="Q50" s="13"/>
      <c r="R50" s="13"/>
      <c r="S50" s="13"/>
      <c r="T50" s="13"/>
      <c r="U50" s="13"/>
      <c r="V50" s="13"/>
      <c r="W50" s="13"/>
      <c r="X50" s="13"/>
      <c r="AB50" s="54"/>
      <c r="AC50" s="55"/>
      <c r="AD50" s="56"/>
    </row>
    <row r="51" spans="3:30" x14ac:dyDescent="0.3">
      <c r="C51" s="13"/>
      <c r="D51" s="13"/>
      <c r="E51" s="13"/>
      <c r="F51" s="13"/>
      <c r="G51" s="13"/>
      <c r="H51" s="13"/>
      <c r="I51" s="13"/>
      <c r="J51" s="13"/>
      <c r="K51" s="13"/>
      <c r="L51" s="13"/>
      <c r="M51" s="13"/>
      <c r="N51" s="13"/>
      <c r="O51" s="13"/>
      <c r="P51" s="13"/>
      <c r="Q51" s="13"/>
      <c r="R51" s="13"/>
      <c r="S51" s="13"/>
      <c r="T51" s="13"/>
      <c r="U51" s="13"/>
      <c r="V51" s="13"/>
      <c r="W51" s="13"/>
      <c r="X51" s="13"/>
      <c r="AB51" s="54"/>
      <c r="AC51" s="55"/>
      <c r="AD51" s="56"/>
    </row>
    <row r="52" spans="3:30" x14ac:dyDescent="0.3">
      <c r="C52" s="13"/>
      <c r="D52" s="13"/>
      <c r="E52" s="13"/>
      <c r="F52" s="13"/>
      <c r="G52" s="13"/>
      <c r="H52" s="13"/>
      <c r="I52" s="13"/>
      <c r="J52" s="13"/>
      <c r="K52" s="13"/>
      <c r="L52" s="13"/>
      <c r="M52" s="13"/>
      <c r="N52" s="13"/>
      <c r="O52" s="13"/>
      <c r="P52" s="13"/>
      <c r="Q52" s="13"/>
      <c r="R52" s="13"/>
      <c r="S52" s="13"/>
      <c r="T52" s="13"/>
      <c r="U52" s="13"/>
      <c r="V52" s="13"/>
      <c r="W52" s="13"/>
      <c r="X52" s="13"/>
      <c r="AB52" s="54"/>
      <c r="AC52" s="55"/>
      <c r="AD52" s="56"/>
    </row>
    <row r="53" spans="3:30" x14ac:dyDescent="0.3">
      <c r="C53" s="13"/>
      <c r="D53" s="13"/>
      <c r="E53" s="13"/>
      <c r="F53" s="13"/>
      <c r="G53" s="13"/>
      <c r="H53" s="13"/>
      <c r="I53" s="13"/>
      <c r="J53" s="13"/>
      <c r="K53" s="13"/>
      <c r="L53" s="13"/>
      <c r="M53" s="13"/>
      <c r="N53" s="13"/>
      <c r="O53" s="13"/>
      <c r="P53" s="13"/>
      <c r="Q53" s="13"/>
      <c r="R53" s="13"/>
      <c r="S53" s="13"/>
      <c r="T53" s="13"/>
      <c r="U53" s="13"/>
      <c r="V53" s="13"/>
      <c r="W53" s="13"/>
      <c r="X53" s="13"/>
      <c r="AB53" s="54"/>
      <c r="AC53" s="55"/>
      <c r="AD53" s="56"/>
    </row>
    <row r="54" spans="3:30" x14ac:dyDescent="0.3">
      <c r="C54" s="13"/>
      <c r="D54" s="13"/>
      <c r="E54" s="13"/>
      <c r="F54" s="13"/>
      <c r="G54" s="13"/>
      <c r="H54" s="13"/>
      <c r="I54" s="13"/>
      <c r="J54" s="13"/>
      <c r="K54" s="13"/>
      <c r="L54" s="13"/>
      <c r="M54" s="13"/>
      <c r="N54" s="13"/>
      <c r="O54" s="13"/>
      <c r="P54" s="13"/>
      <c r="Q54" s="13"/>
      <c r="R54" s="13"/>
      <c r="S54" s="13"/>
      <c r="T54" s="13"/>
      <c r="U54" s="13"/>
      <c r="V54" s="13"/>
      <c r="W54" s="13"/>
      <c r="X54" s="13"/>
      <c r="AB54" s="54"/>
      <c r="AC54" s="55"/>
      <c r="AD54" s="56"/>
    </row>
    <row r="55" spans="3:30" x14ac:dyDescent="0.3">
      <c r="C55" s="13"/>
      <c r="D55" s="13"/>
      <c r="E55" s="13"/>
      <c r="F55" s="13"/>
      <c r="G55" s="13"/>
      <c r="H55" s="13"/>
      <c r="I55" s="13"/>
      <c r="J55" s="13"/>
      <c r="K55" s="13"/>
      <c r="L55" s="13"/>
      <c r="M55" s="13"/>
      <c r="N55" s="13"/>
      <c r="O55" s="13"/>
      <c r="P55" s="13"/>
      <c r="Q55" s="13"/>
      <c r="R55" s="13"/>
      <c r="S55" s="13"/>
      <c r="T55" s="13"/>
      <c r="U55" s="13"/>
      <c r="V55" s="13"/>
      <c r="W55" s="13"/>
      <c r="X55" s="13"/>
      <c r="AB55" s="54"/>
      <c r="AC55" s="55"/>
      <c r="AD55" s="56"/>
    </row>
    <row r="56" spans="3:30" ht="18" x14ac:dyDescent="0.35">
      <c r="C56" s="13"/>
      <c r="D56" s="13"/>
      <c r="E56" s="13"/>
      <c r="F56" s="13"/>
      <c r="G56" s="13"/>
      <c r="H56" s="13"/>
      <c r="I56" s="13"/>
      <c r="J56" s="13"/>
      <c r="K56" s="13"/>
      <c r="L56" s="13"/>
      <c r="M56" s="14"/>
      <c r="N56" s="14"/>
      <c r="O56" s="13"/>
      <c r="P56" s="13"/>
      <c r="Q56" s="13"/>
      <c r="R56" s="13"/>
      <c r="S56" s="13"/>
      <c r="T56" s="13"/>
      <c r="U56" s="13"/>
      <c r="V56" s="13"/>
      <c r="W56" s="13"/>
      <c r="X56" s="13"/>
      <c r="AB56" s="54"/>
      <c r="AC56" s="55"/>
      <c r="AD56" s="56"/>
    </row>
    <row r="57" spans="3:30" x14ac:dyDescent="0.3">
      <c r="C57" s="13"/>
      <c r="D57" s="13"/>
      <c r="E57" s="13"/>
      <c r="F57" s="13"/>
      <c r="G57" s="13"/>
      <c r="H57" s="13"/>
      <c r="I57" s="13"/>
      <c r="J57" s="13"/>
      <c r="K57" s="13"/>
      <c r="L57" s="13"/>
      <c r="M57" s="13"/>
      <c r="N57" s="13"/>
      <c r="O57" s="13"/>
      <c r="P57" s="13"/>
      <c r="Q57" s="13"/>
      <c r="R57" s="13"/>
      <c r="S57" s="13"/>
      <c r="T57" s="13"/>
      <c r="U57" s="13"/>
      <c r="V57" s="13"/>
      <c r="W57" s="13"/>
      <c r="X57" s="13"/>
      <c r="AB57" s="54"/>
      <c r="AC57" s="55"/>
      <c r="AD57" s="56"/>
    </row>
    <row r="58" spans="3:30" x14ac:dyDescent="0.3">
      <c r="C58" s="13"/>
      <c r="D58" s="13"/>
      <c r="E58" s="13"/>
      <c r="F58" s="13"/>
      <c r="G58" s="13"/>
      <c r="H58" s="13"/>
      <c r="I58" s="13"/>
      <c r="J58" s="13"/>
      <c r="K58" s="13"/>
      <c r="L58" s="13"/>
      <c r="M58" s="13"/>
      <c r="N58" s="13"/>
      <c r="O58" s="13"/>
      <c r="P58" s="13"/>
      <c r="Q58" s="13"/>
      <c r="R58" s="13"/>
      <c r="S58" s="13"/>
      <c r="T58" s="13"/>
      <c r="U58" s="13"/>
      <c r="V58" s="13"/>
      <c r="W58" s="13"/>
      <c r="X58" s="13"/>
      <c r="AB58" s="54"/>
      <c r="AC58" s="55"/>
      <c r="AD58" s="56"/>
    </row>
    <row r="59" spans="3:30" x14ac:dyDescent="0.3">
      <c r="C59" s="13"/>
      <c r="D59" s="13"/>
      <c r="E59" s="13"/>
      <c r="F59" s="13"/>
      <c r="G59" s="13"/>
      <c r="H59" s="13"/>
      <c r="I59" s="13"/>
      <c r="J59" s="13"/>
      <c r="K59" s="13"/>
      <c r="L59" s="13"/>
      <c r="M59" s="13"/>
      <c r="N59" s="13"/>
      <c r="O59" s="13"/>
      <c r="P59" s="13"/>
      <c r="Q59" s="13"/>
      <c r="R59" s="13"/>
      <c r="S59" s="13"/>
      <c r="T59" s="13"/>
      <c r="U59" s="13"/>
      <c r="V59" s="13"/>
      <c r="W59" s="13"/>
      <c r="X59" s="13"/>
      <c r="AB59" s="54"/>
      <c r="AC59" s="55"/>
      <c r="AD59" s="56"/>
    </row>
    <row r="60" spans="3:30" x14ac:dyDescent="0.3">
      <c r="C60" s="13"/>
      <c r="D60" s="13"/>
      <c r="E60" s="13"/>
      <c r="F60" s="13"/>
      <c r="G60" s="13"/>
      <c r="H60" s="13"/>
      <c r="I60" s="13"/>
      <c r="J60" s="13"/>
      <c r="K60" s="13"/>
      <c r="L60" s="13"/>
      <c r="M60" s="13"/>
      <c r="N60" s="13"/>
      <c r="O60" s="13"/>
      <c r="P60" s="13"/>
      <c r="Q60" s="13"/>
      <c r="R60" s="13"/>
      <c r="S60" s="13"/>
      <c r="T60" s="13"/>
      <c r="U60" s="13"/>
      <c r="V60" s="13"/>
      <c r="W60" s="13"/>
      <c r="X60" s="13"/>
      <c r="AB60" s="54"/>
      <c r="AC60" s="55"/>
      <c r="AD60" s="56"/>
    </row>
    <row r="61" spans="3:30" x14ac:dyDescent="0.3">
      <c r="C61" s="13"/>
      <c r="D61" s="13"/>
      <c r="E61" s="13"/>
      <c r="F61" s="13"/>
      <c r="G61" s="13"/>
      <c r="H61" s="13"/>
      <c r="I61" s="13"/>
      <c r="J61" s="13"/>
      <c r="K61" s="13"/>
      <c r="L61" s="13"/>
      <c r="M61" s="13"/>
      <c r="N61" s="13"/>
      <c r="O61" s="13"/>
      <c r="P61" s="13"/>
      <c r="Q61" s="13"/>
      <c r="R61" s="13"/>
      <c r="S61" s="13"/>
      <c r="T61" s="13"/>
      <c r="U61" s="13"/>
      <c r="V61" s="13"/>
      <c r="W61" s="13"/>
      <c r="X61" s="13"/>
      <c r="AB61" s="54"/>
      <c r="AC61" s="55"/>
      <c r="AD61" s="56"/>
    </row>
    <row r="62" spans="3:30" x14ac:dyDescent="0.3">
      <c r="C62" s="13"/>
      <c r="D62" s="13"/>
      <c r="E62" s="13"/>
      <c r="F62" s="13"/>
      <c r="G62" s="13"/>
      <c r="H62" s="13"/>
      <c r="I62" s="13"/>
      <c r="J62" s="13"/>
      <c r="K62" s="13"/>
      <c r="L62" s="13"/>
      <c r="M62" s="13"/>
      <c r="N62" s="13"/>
      <c r="O62" s="13"/>
      <c r="P62" s="13"/>
      <c r="Q62" s="13"/>
      <c r="R62" s="13"/>
      <c r="S62" s="13"/>
      <c r="T62" s="13"/>
      <c r="U62" s="13"/>
      <c r="V62" s="13"/>
      <c r="W62" s="13"/>
      <c r="X62" s="13"/>
      <c r="AB62" s="54"/>
      <c r="AC62" s="55"/>
      <c r="AD62" s="56"/>
    </row>
    <row r="63" spans="3:30" x14ac:dyDescent="0.3">
      <c r="C63" s="13"/>
      <c r="D63" s="13"/>
      <c r="E63" s="13"/>
      <c r="F63" s="13"/>
      <c r="G63" s="13"/>
      <c r="H63" s="13"/>
      <c r="I63" s="13"/>
      <c r="J63" s="13"/>
      <c r="K63" s="13"/>
      <c r="L63" s="13"/>
      <c r="M63" s="13"/>
      <c r="N63" s="13"/>
      <c r="O63" s="13"/>
      <c r="P63" s="13"/>
      <c r="Q63" s="13"/>
      <c r="R63" s="13"/>
      <c r="S63" s="13"/>
      <c r="T63" s="13"/>
      <c r="U63" s="13"/>
      <c r="V63" s="13"/>
      <c r="W63" s="13"/>
      <c r="X63" s="13"/>
      <c r="AB63" s="54"/>
      <c r="AC63" s="55"/>
      <c r="AD63" s="56"/>
    </row>
    <row r="64" spans="3:30" x14ac:dyDescent="0.3">
      <c r="C64" s="13"/>
      <c r="D64" s="13"/>
      <c r="E64" s="13"/>
      <c r="F64" s="13"/>
      <c r="G64" s="13"/>
      <c r="H64" s="13"/>
      <c r="I64" s="13"/>
      <c r="J64" s="13"/>
      <c r="K64" s="13"/>
      <c r="L64" s="13"/>
      <c r="M64" s="13"/>
      <c r="N64" s="13"/>
      <c r="O64" s="13"/>
      <c r="P64" s="13"/>
      <c r="Q64" s="13"/>
      <c r="R64" s="13"/>
      <c r="S64" s="13"/>
      <c r="T64" s="13"/>
      <c r="U64" s="13"/>
      <c r="V64" s="13"/>
      <c r="W64" s="13"/>
      <c r="X64" s="13"/>
      <c r="AB64" s="57"/>
      <c r="AC64" s="58"/>
      <c r="AD64" s="59"/>
    </row>
    <row r="65" spans="3:24" x14ac:dyDescent="0.3">
      <c r="C65" s="13"/>
      <c r="D65" s="13"/>
      <c r="E65" s="13"/>
      <c r="F65" s="13"/>
      <c r="G65" s="13"/>
      <c r="H65" s="13"/>
      <c r="I65" s="13"/>
      <c r="J65" s="13"/>
      <c r="K65" s="13"/>
      <c r="L65" s="13"/>
      <c r="M65" s="13"/>
      <c r="N65" s="13"/>
      <c r="O65" s="13"/>
      <c r="P65" s="13"/>
      <c r="Q65" s="13"/>
      <c r="R65" s="13"/>
      <c r="S65" s="13"/>
      <c r="T65" s="13"/>
      <c r="U65" s="13"/>
      <c r="V65" s="13"/>
      <c r="W65" s="13"/>
      <c r="X65" s="13"/>
    </row>
    <row r="66" spans="3:24" x14ac:dyDescent="0.3">
      <c r="C66" s="13"/>
      <c r="D66" s="13"/>
      <c r="E66" s="13"/>
      <c r="F66" s="13"/>
      <c r="G66" s="13"/>
      <c r="H66" s="13"/>
      <c r="I66" s="13"/>
      <c r="J66" s="13"/>
      <c r="K66" s="13"/>
      <c r="L66" s="13"/>
      <c r="M66" s="13"/>
      <c r="N66" s="13"/>
      <c r="O66" s="13"/>
      <c r="P66" s="13"/>
      <c r="Q66" s="13"/>
      <c r="R66" s="13"/>
      <c r="S66" s="13"/>
      <c r="T66" s="13"/>
      <c r="U66" s="13"/>
      <c r="V66" s="13"/>
      <c r="W66" s="13"/>
      <c r="X66" s="13"/>
    </row>
    <row r="67" spans="3:24" x14ac:dyDescent="0.3">
      <c r="C67" s="13"/>
      <c r="D67" s="13"/>
      <c r="E67" s="13"/>
      <c r="F67" s="13"/>
      <c r="G67" s="13"/>
      <c r="H67" s="13"/>
      <c r="I67" s="13"/>
      <c r="J67" s="13"/>
      <c r="K67" s="13"/>
      <c r="L67" s="13"/>
      <c r="M67" s="13"/>
      <c r="N67" s="13"/>
      <c r="O67" s="13"/>
      <c r="P67" s="13"/>
      <c r="Q67" s="13"/>
      <c r="R67" s="13"/>
      <c r="S67" s="13"/>
      <c r="T67" s="13"/>
      <c r="U67" s="13"/>
      <c r="V67" s="13"/>
      <c r="W67" s="13"/>
      <c r="X67" s="13"/>
    </row>
    <row r="68" spans="3:24" x14ac:dyDescent="0.3">
      <c r="C68" s="13"/>
      <c r="D68" s="13"/>
      <c r="E68" s="13"/>
      <c r="F68" s="13"/>
      <c r="G68" s="13"/>
      <c r="H68" s="13"/>
      <c r="I68" s="13"/>
      <c r="J68" s="13"/>
      <c r="K68" s="13"/>
      <c r="L68" s="13"/>
      <c r="M68" s="13"/>
      <c r="N68" s="13"/>
      <c r="O68" s="13"/>
      <c r="P68" s="13"/>
      <c r="Q68" s="13"/>
      <c r="R68" s="13"/>
      <c r="S68" s="13"/>
      <c r="T68" s="13"/>
      <c r="U68" s="13"/>
      <c r="V68" s="13"/>
      <c r="W68" s="13"/>
      <c r="X68" s="13"/>
    </row>
    <row r="69" spans="3:24" x14ac:dyDescent="0.3">
      <c r="C69" s="13"/>
      <c r="D69" s="13"/>
      <c r="E69" s="13"/>
      <c r="F69" s="13"/>
      <c r="G69" s="13"/>
      <c r="H69" s="13"/>
      <c r="I69" s="13"/>
      <c r="J69" s="13"/>
      <c r="K69" s="13"/>
      <c r="L69" s="13"/>
      <c r="M69" s="13"/>
      <c r="N69" s="13"/>
      <c r="O69" s="13"/>
      <c r="P69" s="13"/>
      <c r="Q69" s="13"/>
      <c r="R69" s="13"/>
      <c r="S69" s="13"/>
      <c r="T69" s="13"/>
      <c r="U69" s="13"/>
      <c r="V69" s="13"/>
      <c r="W69" s="13"/>
      <c r="X69" s="13"/>
    </row>
    <row r="70" spans="3:24" x14ac:dyDescent="0.3">
      <c r="C70" s="13"/>
      <c r="D70" s="13"/>
      <c r="E70" s="13"/>
      <c r="F70" s="13"/>
      <c r="G70" s="13"/>
      <c r="H70" s="13"/>
      <c r="I70" s="13"/>
      <c r="J70" s="13"/>
      <c r="K70" s="13"/>
      <c r="L70" s="13"/>
      <c r="M70" s="13"/>
      <c r="N70" s="13"/>
      <c r="O70" s="13"/>
      <c r="P70" s="13"/>
      <c r="Q70" s="13"/>
      <c r="R70" s="13"/>
      <c r="S70" s="13"/>
      <c r="T70" s="13"/>
      <c r="U70" s="13"/>
      <c r="V70" s="13"/>
      <c r="W70" s="13"/>
      <c r="X70" s="13"/>
    </row>
    <row r="71" spans="3:24" x14ac:dyDescent="0.3">
      <c r="C71" s="13"/>
      <c r="D71" s="13"/>
      <c r="E71" s="13"/>
      <c r="F71" s="13"/>
      <c r="G71" s="13"/>
      <c r="H71" s="13"/>
      <c r="I71" s="13"/>
      <c r="J71" s="13"/>
      <c r="K71" s="13"/>
      <c r="L71" s="13"/>
      <c r="M71" s="13"/>
      <c r="N71" s="13"/>
      <c r="O71" s="13"/>
      <c r="P71" s="13"/>
      <c r="Q71" s="13"/>
      <c r="R71" s="13"/>
      <c r="S71" s="13"/>
      <c r="T71" s="13"/>
      <c r="U71" s="13"/>
      <c r="V71" s="13"/>
      <c r="W71" s="13"/>
      <c r="X71" s="13"/>
    </row>
    <row r="72" spans="3:24" x14ac:dyDescent="0.3">
      <c r="C72" s="13"/>
      <c r="D72" s="13"/>
      <c r="E72" s="13"/>
      <c r="F72" s="13"/>
      <c r="G72" s="13"/>
      <c r="H72" s="13"/>
      <c r="I72" s="13"/>
      <c r="J72" s="13"/>
      <c r="K72" s="13"/>
      <c r="L72" s="13"/>
      <c r="M72" s="13"/>
      <c r="N72" s="13"/>
      <c r="O72" s="13"/>
      <c r="P72" s="13"/>
      <c r="Q72" s="13"/>
      <c r="R72" s="13"/>
      <c r="S72" s="13"/>
      <c r="T72" s="13"/>
      <c r="U72" s="13"/>
      <c r="V72" s="13"/>
      <c r="W72" s="13"/>
      <c r="X72" s="13"/>
    </row>
    <row r="73" spans="3:24" x14ac:dyDescent="0.3">
      <c r="C73" s="13"/>
      <c r="D73" s="13"/>
      <c r="E73" s="13"/>
      <c r="F73" s="13"/>
      <c r="G73" s="13"/>
      <c r="H73" s="13"/>
      <c r="I73" s="13"/>
      <c r="J73" s="13"/>
      <c r="K73" s="13"/>
      <c r="L73" s="13"/>
      <c r="M73" s="13"/>
      <c r="N73" s="13"/>
      <c r="O73" s="13"/>
      <c r="P73" s="13"/>
      <c r="Q73" s="13"/>
      <c r="R73" s="13"/>
      <c r="S73" s="13"/>
      <c r="T73" s="13"/>
      <c r="U73" s="13"/>
      <c r="V73" s="13"/>
      <c r="W73" s="13"/>
      <c r="X73" s="13"/>
    </row>
    <row r="74" spans="3:24" x14ac:dyDescent="0.3">
      <c r="C74" s="13"/>
      <c r="D74" s="13"/>
      <c r="E74" s="13"/>
      <c r="F74" s="13"/>
      <c r="G74" s="13"/>
      <c r="H74" s="13"/>
      <c r="I74" s="13"/>
      <c r="J74" s="13"/>
      <c r="K74" s="13"/>
      <c r="L74" s="13"/>
      <c r="M74" s="13"/>
      <c r="N74" s="13"/>
      <c r="O74" s="13"/>
      <c r="P74" s="13"/>
      <c r="Q74" s="13"/>
      <c r="R74" s="13"/>
      <c r="S74" s="13"/>
      <c r="T74" s="13"/>
      <c r="U74" s="13"/>
      <c r="V74" s="13"/>
      <c r="W74" s="13"/>
      <c r="X74" s="13"/>
    </row>
    <row r="75" spans="3:24" x14ac:dyDescent="0.3">
      <c r="C75" s="13"/>
      <c r="D75" s="13"/>
      <c r="E75" s="13"/>
      <c r="F75" s="13"/>
      <c r="G75" s="13"/>
      <c r="H75" s="13"/>
      <c r="I75" s="13"/>
      <c r="J75" s="13"/>
      <c r="K75" s="13"/>
      <c r="L75" s="13"/>
      <c r="M75" s="13"/>
      <c r="N75" s="13"/>
      <c r="O75" s="13"/>
      <c r="P75" s="13"/>
      <c r="Q75" s="13"/>
      <c r="R75" s="13"/>
      <c r="S75" s="13"/>
      <c r="T75" s="13"/>
      <c r="U75" s="13"/>
      <c r="V75" s="13"/>
      <c r="W75" s="13"/>
      <c r="X75" s="13"/>
    </row>
    <row r="76" spans="3:24" x14ac:dyDescent="0.3">
      <c r="C76" s="13"/>
      <c r="D76" s="13"/>
      <c r="E76" s="13"/>
      <c r="F76" s="13"/>
      <c r="G76" s="13"/>
      <c r="H76" s="13"/>
      <c r="I76" s="13"/>
      <c r="J76" s="13"/>
      <c r="K76" s="13"/>
      <c r="L76" s="13"/>
      <c r="M76" s="13"/>
      <c r="N76" s="13"/>
      <c r="O76" s="13"/>
      <c r="P76" s="13"/>
      <c r="Q76" s="13"/>
      <c r="R76" s="13"/>
      <c r="S76" s="13"/>
      <c r="T76" s="13"/>
      <c r="U76" s="13"/>
      <c r="V76" s="13"/>
      <c r="W76" s="13"/>
      <c r="X76" s="13"/>
    </row>
    <row r="77" spans="3:24" x14ac:dyDescent="0.3">
      <c r="C77" s="18"/>
      <c r="D77" s="18"/>
      <c r="E77" s="18"/>
      <c r="F77" s="18"/>
      <c r="G77" s="18"/>
      <c r="H77" s="18"/>
      <c r="I77" s="18"/>
      <c r="J77" s="18"/>
      <c r="K77" s="18"/>
      <c r="L77" s="18"/>
      <c r="M77" s="18"/>
      <c r="N77" s="18"/>
      <c r="O77" s="18"/>
      <c r="P77" s="18"/>
      <c r="Q77" s="18"/>
      <c r="R77" s="18"/>
      <c r="S77" s="18"/>
      <c r="T77" s="18"/>
      <c r="U77" s="18"/>
      <c r="V77" s="18"/>
      <c r="W77" s="18"/>
      <c r="X77" s="18"/>
    </row>
    <row r="78" spans="3:24" x14ac:dyDescent="0.3">
      <c r="C78" s="18"/>
      <c r="D78" s="18"/>
      <c r="E78" s="18"/>
      <c r="F78" s="18"/>
      <c r="G78" s="18"/>
      <c r="H78" s="18"/>
      <c r="I78" s="18"/>
      <c r="J78" s="18"/>
      <c r="K78" s="18"/>
      <c r="L78" s="18"/>
      <c r="M78" s="18"/>
      <c r="N78" s="18"/>
      <c r="O78" s="18"/>
      <c r="P78" s="18"/>
      <c r="Q78" s="18"/>
      <c r="R78" s="18"/>
      <c r="S78" s="18"/>
      <c r="T78" s="18"/>
      <c r="U78" s="18"/>
      <c r="V78" s="18"/>
      <c r="W78" s="18"/>
      <c r="X78" s="18"/>
    </row>
    <row r="79" spans="3:24" x14ac:dyDescent="0.3">
      <c r="C79" s="18"/>
      <c r="D79" s="18"/>
      <c r="E79" s="18"/>
      <c r="F79" s="18"/>
      <c r="G79" s="18"/>
      <c r="H79" s="18"/>
      <c r="I79" s="18"/>
      <c r="J79" s="18"/>
      <c r="K79" s="18"/>
      <c r="L79" s="18"/>
      <c r="M79" s="18"/>
      <c r="N79" s="18"/>
      <c r="O79" s="18"/>
      <c r="P79" s="18"/>
      <c r="Q79" s="18"/>
      <c r="R79" s="18"/>
      <c r="S79" s="18"/>
      <c r="T79" s="18"/>
      <c r="U79" s="18"/>
      <c r="V79" s="18"/>
      <c r="W79" s="18"/>
      <c r="X79" s="18"/>
    </row>
    <row r="80" spans="3:24" x14ac:dyDescent="0.3">
      <c r="C80" s="18"/>
      <c r="D80" s="18"/>
      <c r="E80" s="18"/>
      <c r="F80" s="18"/>
      <c r="G80" s="18"/>
      <c r="H80" s="18"/>
      <c r="I80" s="18"/>
      <c r="J80" s="18"/>
      <c r="K80" s="18"/>
      <c r="L80" s="18"/>
      <c r="M80" s="18"/>
      <c r="N80" s="18"/>
      <c r="O80" s="18"/>
      <c r="P80" s="18"/>
      <c r="Q80" s="18"/>
      <c r="R80" s="18"/>
      <c r="S80" s="18"/>
      <c r="T80" s="18"/>
      <c r="U80" s="18"/>
      <c r="V80" s="18"/>
      <c r="W80" s="18"/>
      <c r="X80" s="18"/>
    </row>
    <row r="81" spans="3:24" x14ac:dyDescent="0.3">
      <c r="C81" s="18"/>
      <c r="D81" s="18"/>
      <c r="E81" s="18"/>
      <c r="F81" s="18"/>
      <c r="G81" s="18"/>
      <c r="H81" s="18"/>
      <c r="I81" s="18"/>
      <c r="J81" s="18"/>
      <c r="K81" s="18"/>
      <c r="L81" s="18"/>
      <c r="M81" s="18"/>
      <c r="N81" s="18"/>
      <c r="O81" s="18"/>
      <c r="P81" s="18"/>
      <c r="Q81" s="18"/>
      <c r="R81" s="18"/>
      <c r="S81" s="18"/>
      <c r="T81" s="18"/>
      <c r="U81" s="18"/>
      <c r="V81" s="18"/>
      <c r="W81" s="18"/>
      <c r="X81" s="18"/>
    </row>
    <row r="82" spans="3:24" x14ac:dyDescent="0.3">
      <c r="C82" s="18"/>
      <c r="D82" s="18"/>
      <c r="E82" s="18"/>
      <c r="F82" s="18"/>
      <c r="G82" s="18"/>
      <c r="H82" s="18"/>
      <c r="I82" s="18"/>
      <c r="J82" s="18"/>
      <c r="K82" s="18"/>
      <c r="L82" s="18"/>
      <c r="M82" s="18"/>
      <c r="N82" s="18"/>
      <c r="O82" s="18"/>
      <c r="P82" s="18"/>
      <c r="Q82" s="18"/>
      <c r="R82" s="18"/>
      <c r="S82" s="18"/>
      <c r="T82" s="18"/>
      <c r="U82" s="18"/>
      <c r="V82" s="18"/>
      <c r="W82" s="18"/>
      <c r="X82" s="18"/>
    </row>
    <row r="83" spans="3:24" x14ac:dyDescent="0.3">
      <c r="C83" s="18"/>
      <c r="D83" s="18"/>
      <c r="E83" s="18"/>
      <c r="F83" s="18"/>
      <c r="G83" s="18"/>
      <c r="H83" s="18"/>
      <c r="I83" s="18"/>
      <c r="J83" s="18"/>
      <c r="K83" s="18"/>
      <c r="L83" s="18"/>
      <c r="M83" s="18"/>
      <c r="N83" s="18"/>
      <c r="O83" s="18"/>
      <c r="P83" s="18"/>
      <c r="Q83" s="18"/>
      <c r="R83" s="18"/>
      <c r="S83" s="18"/>
      <c r="T83" s="18"/>
      <c r="U83" s="18"/>
      <c r="V83" s="18"/>
      <c r="W83" s="18"/>
      <c r="X83" s="18"/>
    </row>
    <row r="84" spans="3:24" x14ac:dyDescent="0.3">
      <c r="C84" s="18"/>
      <c r="D84" s="18"/>
      <c r="E84" s="18"/>
      <c r="F84" s="18"/>
      <c r="G84" s="18"/>
      <c r="H84" s="18"/>
      <c r="I84" s="18"/>
      <c r="J84" s="18"/>
      <c r="K84" s="18"/>
      <c r="L84" s="18"/>
      <c r="M84" s="18"/>
      <c r="N84" s="18"/>
      <c r="O84" s="18"/>
      <c r="P84" s="18"/>
      <c r="Q84" s="18"/>
      <c r="R84" s="18"/>
      <c r="S84" s="18"/>
      <c r="T84" s="18"/>
      <c r="U84" s="18"/>
      <c r="V84" s="18"/>
      <c r="W84" s="18"/>
      <c r="X84" s="18"/>
    </row>
    <row r="95" spans="3:24" x14ac:dyDescent="0.3">
      <c r="F95" s="13"/>
      <c r="G95" s="13"/>
    </row>
  </sheetData>
  <mergeCells count="7">
    <mergeCell ref="C1:W1"/>
    <mergeCell ref="C2:I2"/>
    <mergeCell ref="D47:J50"/>
    <mergeCell ref="N45:V45"/>
    <mergeCell ref="M18:O21"/>
    <mergeCell ref="M2:X2"/>
    <mergeCell ref="C18:K20"/>
  </mergeCells>
  <dataValidations count="1">
    <dataValidation type="custom" allowBlank="1" showInputMessage="1" showErrorMessage="1" sqref="N5 O5" xr:uid="{DED93975-6BE1-4D13-B5DE-325AF5B64CC9}">
      <formula1>AND(LEN(N5)&gt;2,LEN(N5)&lt;11,NOT(ISNUMBER(--N5)))</formula1>
    </dataValidation>
  </dataValidation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7FB6-E499-4541-A9B2-4EC7521924A6}">
  <dimension ref="A1:B7"/>
  <sheetViews>
    <sheetView workbookViewId="0">
      <selection activeCell="G10" activeCellId="1" sqref="G15 G10"/>
    </sheetView>
  </sheetViews>
  <sheetFormatPr defaultRowHeight="14.4" x14ac:dyDescent="0.3"/>
  <sheetData>
    <row r="1" spans="1:2" ht="18" x14ac:dyDescent="0.35">
      <c r="A1" s="14" t="s">
        <v>1545</v>
      </c>
      <c r="B1" s="14" t="s">
        <v>1556</v>
      </c>
    </row>
    <row r="2" spans="1:2" ht="18" x14ac:dyDescent="0.35">
      <c r="A2" s="15" t="s">
        <v>92</v>
      </c>
      <c r="B2" s="16">
        <v>1152105381</v>
      </c>
    </row>
    <row r="3" spans="1:2" ht="18" x14ac:dyDescent="0.35">
      <c r="A3" s="15" t="s">
        <v>84</v>
      </c>
      <c r="B3" s="16">
        <v>1815598681</v>
      </c>
    </row>
    <row r="4" spans="1:2" ht="18" x14ac:dyDescent="0.35">
      <c r="A4" s="15" t="s">
        <v>36</v>
      </c>
      <c r="B4" s="16">
        <v>110724997343</v>
      </c>
    </row>
    <row r="5" spans="1:2" ht="18" x14ac:dyDescent="0.35">
      <c r="A5" s="15" t="s">
        <v>59</v>
      </c>
      <c r="B5" s="16">
        <v>15183054533</v>
      </c>
    </row>
    <row r="6" spans="1:2" ht="18" x14ac:dyDescent="0.35">
      <c r="A6" s="15" t="s">
        <v>43</v>
      </c>
      <c r="B6" s="16">
        <v>4421248180</v>
      </c>
    </row>
    <row r="7" spans="1:2" ht="18" x14ac:dyDescent="0.35">
      <c r="A7" s="15" t="s">
        <v>1557</v>
      </c>
      <c r="B7" s="16">
        <f>Sheet3!C20</f>
        <v>120072369217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1BA4-E3A1-4902-AF79-88687CF736D1}">
  <sheetPr codeName="Sheet5"/>
  <dimension ref="A1:T196"/>
  <sheetViews>
    <sheetView topLeftCell="B1" zoomScale="106" workbookViewId="0">
      <selection activeCell="A2" sqref="A2:R196"/>
    </sheetView>
  </sheetViews>
  <sheetFormatPr defaultRowHeight="14.4" x14ac:dyDescent="0.3"/>
  <cols>
    <col min="1" max="1" width="53.21875" bestFit="1" customWidth="1"/>
    <col min="2" max="2" width="10.33203125" bestFit="1" customWidth="1"/>
    <col min="3" max="3" width="13.21875" bestFit="1" customWidth="1"/>
    <col min="4" max="4" width="15.44140625" bestFit="1" customWidth="1"/>
    <col min="5" max="5" width="16.6640625" bestFit="1" customWidth="1"/>
    <col min="6" max="6" width="15.44140625" bestFit="1" customWidth="1"/>
    <col min="7" max="7" width="20.109375" style="4" bestFit="1" customWidth="1"/>
    <col min="8" max="8" width="19.44140625" style="4" bestFit="1" customWidth="1"/>
    <col min="9" max="9" width="22.88671875" style="4" bestFit="1" customWidth="1"/>
    <col min="10" max="10" width="19.109375" style="3" bestFit="1" customWidth="1"/>
    <col min="11" max="11" width="14.88671875" bestFit="1" customWidth="1"/>
    <col min="12" max="12" width="15.88671875" bestFit="1" customWidth="1"/>
    <col min="13" max="13" width="14.88671875" bestFit="1" customWidth="1"/>
    <col min="14" max="14" width="18.33203125" style="5" bestFit="1" customWidth="1"/>
    <col min="15" max="15" width="16.33203125" customWidth="1"/>
    <col min="16" max="16" width="25.88671875" bestFit="1" customWidth="1"/>
    <col min="17" max="17" width="25.44140625" bestFit="1" customWidth="1"/>
    <col min="18" max="18" width="13.5546875" bestFit="1" customWidth="1"/>
    <col min="19" max="19" width="8.88671875" customWidth="1"/>
  </cols>
  <sheetData>
    <row r="1" spans="1:20"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c r="T1" t="b">
        <f>ISNUMBER(G2)</f>
        <v>1</v>
      </c>
    </row>
    <row r="2" spans="1:20"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20"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20"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20"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20"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20"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20"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20"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20"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20"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20"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20"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20"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20"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20"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201"/>
  <sheetViews>
    <sheetView workbookViewId="0">
      <pane ySplit="1" topLeftCell="A176" activePane="bottomLeft" state="frozen"/>
      <selection pane="bottomLeft" activeCell="A21" sqref="A21"/>
    </sheetView>
  </sheetViews>
  <sheetFormatPr defaultRowHeight="14.4" x14ac:dyDescent="0.3"/>
  <cols>
    <col min="1" max="1" width="52.44140625" bestFit="1" customWidth="1"/>
    <col min="2" max="2" width="9.77734375" bestFit="1" customWidth="1"/>
    <col min="3" max="3" width="11.5546875" bestFit="1" customWidth="1"/>
    <col min="4" max="4" width="11.77734375" bestFit="1" customWidth="1"/>
    <col min="5" max="5" width="12.77734375" bestFit="1" customWidth="1"/>
    <col min="6" max="6" width="11.77734375" bestFit="1" customWidth="1"/>
    <col min="7" max="7" width="16.88671875" bestFit="1" customWidth="1"/>
    <col min="8" max="8" width="15.5546875" bestFit="1" customWidth="1"/>
    <col min="9" max="9" width="15.33203125" bestFit="1" customWidth="1"/>
  </cols>
  <sheetData>
    <row r="1" spans="1:9" x14ac:dyDescent="0.3">
      <c r="A1" s="1" t="s">
        <v>0</v>
      </c>
      <c r="B1" s="1" t="s">
        <v>1</v>
      </c>
      <c r="C1" s="1" t="s">
        <v>2</v>
      </c>
      <c r="D1" s="1" t="s">
        <v>3</v>
      </c>
      <c r="E1" s="1" t="s">
        <v>4</v>
      </c>
      <c r="F1" s="1" t="s">
        <v>5</v>
      </c>
      <c r="G1" s="1" t="s">
        <v>6</v>
      </c>
      <c r="H1" s="1" t="s">
        <v>7</v>
      </c>
      <c r="I1" s="1" t="s">
        <v>8</v>
      </c>
    </row>
    <row r="2" spans="1:9" x14ac:dyDescent="0.3">
      <c r="A2" t="s">
        <v>9</v>
      </c>
      <c r="B2" t="s">
        <v>10</v>
      </c>
      <c r="C2" t="s">
        <v>11</v>
      </c>
      <c r="D2" t="s">
        <v>12</v>
      </c>
      <c r="E2" t="s">
        <v>13</v>
      </c>
      <c r="F2" t="s">
        <v>14</v>
      </c>
      <c r="G2" t="s">
        <v>15</v>
      </c>
      <c r="H2" t="s">
        <v>16</v>
      </c>
      <c r="I2" t="s">
        <v>17</v>
      </c>
    </row>
    <row r="3" spans="1:9" x14ac:dyDescent="0.3">
      <c r="A3" t="s">
        <v>18</v>
      </c>
      <c r="B3" t="s">
        <v>19</v>
      </c>
      <c r="C3" t="s">
        <v>20</v>
      </c>
      <c r="D3" t="s">
        <v>21</v>
      </c>
      <c r="E3" t="s">
        <v>22</v>
      </c>
      <c r="F3" t="s">
        <v>23</v>
      </c>
      <c r="G3" t="s">
        <v>24</v>
      </c>
      <c r="H3" t="s">
        <v>25</v>
      </c>
      <c r="I3" t="s">
        <v>26</v>
      </c>
    </row>
    <row r="4" spans="1:9" x14ac:dyDescent="0.3">
      <c r="A4" t="s">
        <v>27</v>
      </c>
      <c r="B4" t="s">
        <v>28</v>
      </c>
      <c r="C4" t="s">
        <v>29</v>
      </c>
      <c r="D4" t="s">
        <v>30</v>
      </c>
      <c r="E4" t="s">
        <v>31</v>
      </c>
      <c r="F4" t="s">
        <v>32</v>
      </c>
      <c r="G4" t="s">
        <v>33</v>
      </c>
      <c r="H4" t="s">
        <v>34</v>
      </c>
      <c r="I4" t="s">
        <v>35</v>
      </c>
    </row>
    <row r="5" spans="1:9" x14ac:dyDescent="0.3">
      <c r="A5" t="s">
        <v>36</v>
      </c>
      <c r="B5" t="s">
        <v>37</v>
      </c>
      <c r="C5" t="s">
        <v>38</v>
      </c>
      <c r="D5" t="s">
        <v>21</v>
      </c>
      <c r="E5" t="s">
        <v>39</v>
      </c>
      <c r="F5" t="s">
        <v>12</v>
      </c>
      <c r="G5" t="s">
        <v>40</v>
      </c>
      <c r="H5" t="s">
        <v>41</v>
      </c>
      <c r="I5" t="s">
        <v>42</v>
      </c>
    </row>
    <row r="6" spans="1:9" x14ac:dyDescent="0.3">
      <c r="A6" t="s">
        <v>43</v>
      </c>
      <c r="B6" t="s">
        <v>43</v>
      </c>
      <c r="C6" t="s">
        <v>44</v>
      </c>
      <c r="D6" t="s">
        <v>45</v>
      </c>
      <c r="E6" t="s">
        <v>46</v>
      </c>
      <c r="F6" t="s">
        <v>47</v>
      </c>
      <c r="G6" t="s">
        <v>48</v>
      </c>
      <c r="H6" t="s">
        <v>49</v>
      </c>
      <c r="I6" t="s">
        <v>50</v>
      </c>
    </row>
    <row r="7" spans="1:9" x14ac:dyDescent="0.3">
      <c r="A7" t="s">
        <v>51</v>
      </c>
      <c r="B7" t="s">
        <v>51</v>
      </c>
      <c r="C7" t="s">
        <v>52</v>
      </c>
      <c r="D7" t="s">
        <v>53</v>
      </c>
      <c r="E7" t="s">
        <v>54</v>
      </c>
      <c r="F7" t="s">
        <v>55</v>
      </c>
      <c r="G7" t="s">
        <v>56</v>
      </c>
      <c r="H7" t="s">
        <v>57</v>
      </c>
      <c r="I7" t="s">
        <v>58</v>
      </c>
    </row>
    <row r="8" spans="1:9" x14ac:dyDescent="0.3">
      <c r="A8" t="s">
        <v>59</v>
      </c>
      <c r="B8" t="s">
        <v>59</v>
      </c>
      <c r="C8" t="s">
        <v>60</v>
      </c>
      <c r="D8" t="s">
        <v>61</v>
      </c>
      <c r="E8" t="s">
        <v>62</v>
      </c>
      <c r="F8" t="s">
        <v>62</v>
      </c>
      <c r="G8" t="s">
        <v>63</v>
      </c>
      <c r="H8" t="s">
        <v>64</v>
      </c>
      <c r="I8" t="s">
        <v>65</v>
      </c>
    </row>
    <row r="9" spans="1:9" x14ac:dyDescent="0.3">
      <c r="A9" t="s">
        <v>66</v>
      </c>
      <c r="B9" t="s">
        <v>67</v>
      </c>
      <c r="C9" t="s">
        <v>68</v>
      </c>
      <c r="D9" t="s">
        <v>69</v>
      </c>
      <c r="E9" t="s">
        <v>70</v>
      </c>
      <c r="F9" t="s">
        <v>71</v>
      </c>
      <c r="G9" t="s">
        <v>72</v>
      </c>
      <c r="H9" t="s">
        <v>73</v>
      </c>
      <c r="I9" t="s">
        <v>74</v>
      </c>
    </row>
    <row r="10" spans="1:9" x14ac:dyDescent="0.3">
      <c r="A10" t="s">
        <v>75</v>
      </c>
      <c r="B10" t="s">
        <v>76</v>
      </c>
      <c r="C10" t="s">
        <v>77</v>
      </c>
      <c r="D10" t="s">
        <v>78</v>
      </c>
      <c r="E10" t="s">
        <v>79</v>
      </c>
      <c r="F10" t="s">
        <v>80</v>
      </c>
      <c r="G10" t="s">
        <v>81</v>
      </c>
      <c r="H10" t="s">
        <v>82</v>
      </c>
      <c r="I10" t="s">
        <v>83</v>
      </c>
    </row>
    <row r="11" spans="1:9" x14ac:dyDescent="0.3">
      <c r="A11" t="s">
        <v>84</v>
      </c>
      <c r="B11" t="s">
        <v>85</v>
      </c>
      <c r="C11" t="s">
        <v>86</v>
      </c>
      <c r="D11" t="s">
        <v>21</v>
      </c>
      <c r="E11" t="s">
        <v>87</v>
      </c>
      <c r="F11" t="s">
        <v>88</v>
      </c>
      <c r="G11" t="s">
        <v>89</v>
      </c>
      <c r="H11" t="s">
        <v>90</v>
      </c>
      <c r="I11" t="s">
        <v>91</v>
      </c>
    </row>
    <row r="12" spans="1:9" x14ac:dyDescent="0.3">
      <c r="A12" t="s">
        <v>92</v>
      </c>
      <c r="B12" t="s">
        <v>93</v>
      </c>
      <c r="C12" t="s">
        <v>94</v>
      </c>
      <c r="D12" t="s">
        <v>95</v>
      </c>
      <c r="E12" t="s">
        <v>96</v>
      </c>
      <c r="F12" t="s">
        <v>97</v>
      </c>
      <c r="G12" t="s">
        <v>98</v>
      </c>
      <c r="H12" t="s">
        <v>99</v>
      </c>
      <c r="I12" t="s">
        <v>100</v>
      </c>
    </row>
    <row r="13" spans="1:9" x14ac:dyDescent="0.3">
      <c r="A13" t="s">
        <v>101</v>
      </c>
      <c r="B13" t="s">
        <v>102</v>
      </c>
      <c r="C13" t="s">
        <v>103</v>
      </c>
      <c r="D13" t="s">
        <v>53</v>
      </c>
      <c r="E13" t="s">
        <v>104</v>
      </c>
      <c r="F13" t="s">
        <v>105</v>
      </c>
      <c r="G13" t="s">
        <v>106</v>
      </c>
      <c r="H13" t="s">
        <v>107</v>
      </c>
      <c r="I13" t="s">
        <v>108</v>
      </c>
    </row>
    <row r="14" spans="1:9" x14ac:dyDescent="0.3">
      <c r="A14" t="s">
        <v>109</v>
      </c>
      <c r="B14" t="s">
        <v>110</v>
      </c>
      <c r="C14" t="s">
        <v>111</v>
      </c>
      <c r="D14" t="s">
        <v>112</v>
      </c>
      <c r="E14" t="s">
        <v>113</v>
      </c>
      <c r="F14" t="s">
        <v>114</v>
      </c>
      <c r="G14" t="s">
        <v>115</v>
      </c>
      <c r="H14" t="s">
        <v>116</v>
      </c>
      <c r="I14" t="s">
        <v>117</v>
      </c>
    </row>
    <row r="15" spans="1:9" x14ac:dyDescent="0.3">
      <c r="A15" t="s">
        <v>118</v>
      </c>
      <c r="B15" t="s">
        <v>119</v>
      </c>
      <c r="C15" t="s">
        <v>120</v>
      </c>
      <c r="D15" t="s">
        <v>121</v>
      </c>
      <c r="E15" t="s">
        <v>122</v>
      </c>
      <c r="F15" t="s">
        <v>123</v>
      </c>
      <c r="G15" t="s">
        <v>124</v>
      </c>
      <c r="H15" t="s">
        <v>125</v>
      </c>
      <c r="I15" t="s">
        <v>126</v>
      </c>
    </row>
    <row r="16" spans="1:9" x14ac:dyDescent="0.3">
      <c r="A16" t="s">
        <v>127</v>
      </c>
      <c r="B16" t="s">
        <v>128</v>
      </c>
      <c r="C16" t="s">
        <v>129</v>
      </c>
      <c r="D16" t="s">
        <v>79</v>
      </c>
      <c r="E16" t="s">
        <v>130</v>
      </c>
      <c r="F16" t="s">
        <v>131</v>
      </c>
      <c r="G16" t="s">
        <v>132</v>
      </c>
      <c r="H16" t="s">
        <v>133</v>
      </c>
      <c r="I16" t="s">
        <v>134</v>
      </c>
    </row>
    <row r="17" spans="1:9" x14ac:dyDescent="0.3">
      <c r="A17" t="s">
        <v>135</v>
      </c>
      <c r="B17" t="s">
        <v>136</v>
      </c>
      <c r="C17" t="s">
        <v>137</v>
      </c>
      <c r="D17" t="s">
        <v>138</v>
      </c>
      <c r="E17" t="s">
        <v>139</v>
      </c>
      <c r="F17" t="s">
        <v>140</v>
      </c>
      <c r="G17" t="s">
        <v>141</v>
      </c>
      <c r="H17" t="s">
        <v>142</v>
      </c>
      <c r="I17" t="s">
        <v>143</v>
      </c>
    </row>
    <row r="18" spans="1:9" x14ac:dyDescent="0.3">
      <c r="A18" t="s">
        <v>144</v>
      </c>
      <c r="B18" t="s">
        <v>145</v>
      </c>
      <c r="C18" t="s">
        <v>146</v>
      </c>
      <c r="D18" t="s">
        <v>147</v>
      </c>
      <c r="E18" t="s">
        <v>148</v>
      </c>
      <c r="F18" t="s">
        <v>149</v>
      </c>
      <c r="G18" t="s">
        <v>150</v>
      </c>
      <c r="H18" t="s">
        <v>151</v>
      </c>
      <c r="I18" t="s">
        <v>152</v>
      </c>
    </row>
    <row r="19" spans="1:9" x14ac:dyDescent="0.3">
      <c r="A19" t="s">
        <v>153</v>
      </c>
      <c r="B19" t="s">
        <v>154</v>
      </c>
      <c r="C19" t="s">
        <v>155</v>
      </c>
      <c r="D19" t="s">
        <v>156</v>
      </c>
      <c r="E19" t="s">
        <v>157</v>
      </c>
      <c r="F19" t="s">
        <v>158</v>
      </c>
      <c r="G19" t="s">
        <v>159</v>
      </c>
      <c r="H19" t="s">
        <v>160</v>
      </c>
      <c r="I19" t="s">
        <v>161</v>
      </c>
    </row>
    <row r="20" spans="1:9" x14ac:dyDescent="0.3">
      <c r="A20" t="s">
        <v>162</v>
      </c>
      <c r="B20" t="s">
        <v>163</v>
      </c>
      <c r="C20" t="s">
        <v>164</v>
      </c>
      <c r="D20" t="s">
        <v>45</v>
      </c>
      <c r="E20" t="s">
        <v>165</v>
      </c>
      <c r="F20" t="s">
        <v>166</v>
      </c>
      <c r="G20" t="s">
        <v>167</v>
      </c>
      <c r="H20" t="s">
        <v>168</v>
      </c>
      <c r="I20" t="s">
        <v>169</v>
      </c>
    </row>
    <row r="21" spans="1:9" x14ac:dyDescent="0.3">
      <c r="A21" t="s">
        <v>170</v>
      </c>
      <c r="B21" t="s">
        <v>171</v>
      </c>
      <c r="C21" t="s">
        <v>172</v>
      </c>
      <c r="D21" t="s">
        <v>173</v>
      </c>
      <c r="E21" t="s">
        <v>174</v>
      </c>
      <c r="F21" t="s">
        <v>175</v>
      </c>
      <c r="G21" t="s">
        <v>176</v>
      </c>
      <c r="H21" t="s">
        <v>177</v>
      </c>
      <c r="I21" t="s">
        <v>26</v>
      </c>
    </row>
    <row r="22" spans="1:9" x14ac:dyDescent="0.3">
      <c r="A22" t="s">
        <v>178</v>
      </c>
      <c r="B22" t="s">
        <v>179</v>
      </c>
      <c r="C22" t="s">
        <v>180</v>
      </c>
      <c r="D22" t="s">
        <v>181</v>
      </c>
      <c r="E22" t="s">
        <v>182</v>
      </c>
      <c r="F22" t="s">
        <v>183</v>
      </c>
      <c r="G22" t="s">
        <v>184</v>
      </c>
      <c r="H22" t="s">
        <v>185</v>
      </c>
      <c r="I22" t="s">
        <v>186</v>
      </c>
    </row>
    <row r="23" spans="1:9" x14ac:dyDescent="0.3">
      <c r="A23" t="s">
        <v>187</v>
      </c>
      <c r="B23" t="s">
        <v>188</v>
      </c>
      <c r="C23" t="s">
        <v>189</v>
      </c>
      <c r="D23" t="s">
        <v>190</v>
      </c>
      <c r="E23" t="s">
        <v>191</v>
      </c>
      <c r="F23" t="s">
        <v>192</v>
      </c>
      <c r="G23" t="s">
        <v>193</v>
      </c>
      <c r="H23" t="s">
        <v>194</v>
      </c>
      <c r="I23" t="s">
        <v>195</v>
      </c>
    </row>
    <row r="24" spans="1:9" x14ac:dyDescent="0.3">
      <c r="A24" t="s">
        <v>196</v>
      </c>
      <c r="B24" t="s">
        <v>197</v>
      </c>
      <c r="C24" t="s">
        <v>198</v>
      </c>
      <c r="D24" t="s">
        <v>199</v>
      </c>
      <c r="E24" t="s">
        <v>200</v>
      </c>
      <c r="F24" t="s">
        <v>156</v>
      </c>
      <c r="G24" t="s">
        <v>201</v>
      </c>
      <c r="H24" t="s">
        <v>202</v>
      </c>
      <c r="I24" t="s">
        <v>203</v>
      </c>
    </row>
    <row r="25" spans="1:9" x14ac:dyDescent="0.3">
      <c r="A25" t="s">
        <v>204</v>
      </c>
      <c r="B25" t="s">
        <v>205</v>
      </c>
      <c r="C25" t="s">
        <v>206</v>
      </c>
      <c r="D25" t="s">
        <v>207</v>
      </c>
      <c r="E25" t="s">
        <v>208</v>
      </c>
      <c r="F25" t="s">
        <v>209</v>
      </c>
      <c r="G25" t="s">
        <v>210</v>
      </c>
      <c r="H25" t="s">
        <v>211</v>
      </c>
      <c r="I25" t="s">
        <v>212</v>
      </c>
    </row>
    <row r="26" spans="1:9" x14ac:dyDescent="0.3">
      <c r="A26" t="s">
        <v>213</v>
      </c>
      <c r="B26" t="s">
        <v>214</v>
      </c>
      <c r="C26" t="s">
        <v>215</v>
      </c>
      <c r="D26" t="s">
        <v>190</v>
      </c>
      <c r="E26" t="s">
        <v>216</v>
      </c>
      <c r="F26" t="s">
        <v>217</v>
      </c>
      <c r="G26" t="s">
        <v>218</v>
      </c>
      <c r="H26" t="s">
        <v>219</v>
      </c>
      <c r="I26" t="s">
        <v>220</v>
      </c>
    </row>
    <row r="27" spans="1:9" x14ac:dyDescent="0.3">
      <c r="A27" t="s">
        <v>221</v>
      </c>
      <c r="B27" t="s">
        <v>221</v>
      </c>
      <c r="C27" t="s">
        <v>222</v>
      </c>
      <c r="D27" t="s">
        <v>223</v>
      </c>
      <c r="E27" t="s">
        <v>224</v>
      </c>
      <c r="F27" t="s">
        <v>225</v>
      </c>
      <c r="G27" t="s">
        <v>226</v>
      </c>
      <c r="H27" t="s">
        <v>227</v>
      </c>
      <c r="I27" t="s">
        <v>228</v>
      </c>
    </row>
    <row r="28" spans="1:9" x14ac:dyDescent="0.3">
      <c r="A28" t="s">
        <v>229</v>
      </c>
      <c r="B28" t="s">
        <v>230</v>
      </c>
      <c r="C28" t="s">
        <v>231</v>
      </c>
      <c r="D28" t="s">
        <v>78</v>
      </c>
      <c r="E28" t="s">
        <v>232</v>
      </c>
      <c r="F28" t="s">
        <v>233</v>
      </c>
      <c r="G28" t="s">
        <v>234</v>
      </c>
      <c r="H28" t="s">
        <v>235</v>
      </c>
      <c r="I28" t="s">
        <v>236</v>
      </c>
    </row>
    <row r="29" spans="1:9" x14ac:dyDescent="0.3">
      <c r="A29" t="s">
        <v>237</v>
      </c>
      <c r="B29" t="s">
        <v>238</v>
      </c>
      <c r="C29" t="s">
        <v>239</v>
      </c>
      <c r="D29" t="s">
        <v>147</v>
      </c>
      <c r="E29" t="s">
        <v>240</v>
      </c>
      <c r="F29" t="s">
        <v>241</v>
      </c>
      <c r="G29" t="s">
        <v>242</v>
      </c>
      <c r="H29" t="s">
        <v>243</v>
      </c>
      <c r="I29" t="s">
        <v>244</v>
      </c>
    </row>
    <row r="30" spans="1:9" x14ac:dyDescent="0.3">
      <c r="A30" t="s">
        <v>245</v>
      </c>
      <c r="B30" t="s">
        <v>246</v>
      </c>
      <c r="C30" t="s">
        <v>247</v>
      </c>
      <c r="D30" t="s">
        <v>139</v>
      </c>
      <c r="E30" t="s">
        <v>248</v>
      </c>
      <c r="F30" t="s">
        <v>249</v>
      </c>
      <c r="G30" t="s">
        <v>250</v>
      </c>
      <c r="H30" t="s">
        <v>251</v>
      </c>
      <c r="I30" t="s">
        <v>252</v>
      </c>
    </row>
    <row r="31" spans="1:9" x14ac:dyDescent="0.3">
      <c r="A31" t="s">
        <v>253</v>
      </c>
      <c r="B31" t="s">
        <v>253</v>
      </c>
      <c r="C31" t="s">
        <v>254</v>
      </c>
      <c r="D31" t="s">
        <v>255</v>
      </c>
      <c r="E31" t="s">
        <v>256</v>
      </c>
      <c r="F31" t="s">
        <v>257</v>
      </c>
      <c r="G31" t="s">
        <v>258</v>
      </c>
      <c r="H31" t="s">
        <v>259</v>
      </c>
      <c r="I31" t="s">
        <v>260</v>
      </c>
    </row>
    <row r="32" spans="1:9" x14ac:dyDescent="0.3">
      <c r="A32" t="s">
        <v>261</v>
      </c>
      <c r="B32" t="s">
        <v>262</v>
      </c>
      <c r="C32" t="s">
        <v>263</v>
      </c>
      <c r="D32" t="s">
        <v>264</v>
      </c>
      <c r="E32" t="s">
        <v>208</v>
      </c>
      <c r="F32" t="s">
        <v>265</v>
      </c>
      <c r="G32" t="s">
        <v>266</v>
      </c>
      <c r="H32" t="s">
        <v>267</v>
      </c>
      <c r="I32" t="s">
        <v>268</v>
      </c>
    </row>
    <row r="33" spans="1:9" x14ac:dyDescent="0.3">
      <c r="A33" t="s">
        <v>269</v>
      </c>
      <c r="B33" t="s">
        <v>270</v>
      </c>
      <c r="C33" t="s">
        <v>271</v>
      </c>
      <c r="D33" t="s">
        <v>62</v>
      </c>
      <c r="E33" t="s">
        <v>62</v>
      </c>
      <c r="F33" t="s">
        <v>272</v>
      </c>
      <c r="G33" t="s">
        <v>273</v>
      </c>
      <c r="H33" t="s">
        <v>274</v>
      </c>
      <c r="I33" t="s">
        <v>275</v>
      </c>
    </row>
    <row r="34" spans="1:9" x14ac:dyDescent="0.3">
      <c r="A34" t="s">
        <v>276</v>
      </c>
      <c r="B34" t="s">
        <v>277</v>
      </c>
      <c r="C34" t="s">
        <v>278</v>
      </c>
      <c r="D34" t="s">
        <v>279</v>
      </c>
      <c r="E34" t="s">
        <v>280</v>
      </c>
      <c r="F34" t="s">
        <v>281</v>
      </c>
      <c r="G34" t="s">
        <v>282</v>
      </c>
      <c r="H34" t="s">
        <v>283</v>
      </c>
      <c r="I34" t="s">
        <v>284</v>
      </c>
    </row>
    <row r="35" spans="1:9" x14ac:dyDescent="0.3">
      <c r="A35" t="s">
        <v>285</v>
      </c>
      <c r="B35" t="s">
        <v>286</v>
      </c>
      <c r="C35" t="s">
        <v>287</v>
      </c>
      <c r="D35" t="s">
        <v>288</v>
      </c>
      <c r="E35" t="s">
        <v>289</v>
      </c>
      <c r="F35" t="s">
        <v>290</v>
      </c>
      <c r="G35" t="s">
        <v>291</v>
      </c>
      <c r="H35" t="s">
        <v>292</v>
      </c>
      <c r="I35" t="s">
        <v>293</v>
      </c>
    </row>
    <row r="36" spans="1:9" x14ac:dyDescent="0.3">
      <c r="A36" t="s">
        <v>294</v>
      </c>
      <c r="B36" t="s">
        <v>295</v>
      </c>
      <c r="C36" t="s">
        <v>296</v>
      </c>
      <c r="D36" t="s">
        <v>39</v>
      </c>
      <c r="E36" t="s">
        <v>279</v>
      </c>
      <c r="F36" t="s">
        <v>158</v>
      </c>
      <c r="G36" t="s">
        <v>297</v>
      </c>
      <c r="H36" t="s">
        <v>298</v>
      </c>
      <c r="I36" t="s">
        <v>299</v>
      </c>
    </row>
    <row r="37" spans="1:9" x14ac:dyDescent="0.3">
      <c r="A37" t="s">
        <v>300</v>
      </c>
      <c r="B37" t="s">
        <v>301</v>
      </c>
      <c r="C37" t="s">
        <v>302</v>
      </c>
      <c r="D37" t="s">
        <v>303</v>
      </c>
      <c r="E37" t="s">
        <v>304</v>
      </c>
      <c r="F37" t="s">
        <v>305</v>
      </c>
      <c r="G37" t="s">
        <v>306</v>
      </c>
      <c r="H37" t="s">
        <v>307</v>
      </c>
      <c r="I37" t="s">
        <v>308</v>
      </c>
    </row>
    <row r="38" spans="1:9" x14ac:dyDescent="0.3">
      <c r="A38" t="s">
        <v>309</v>
      </c>
      <c r="B38" t="s">
        <v>310</v>
      </c>
      <c r="C38" t="s">
        <v>311</v>
      </c>
      <c r="D38" t="s">
        <v>53</v>
      </c>
      <c r="E38" t="s">
        <v>53</v>
      </c>
      <c r="F38" t="s">
        <v>53</v>
      </c>
      <c r="G38" t="s">
        <v>312</v>
      </c>
      <c r="H38" t="s">
        <v>313</v>
      </c>
      <c r="I38" t="s">
        <v>314</v>
      </c>
    </row>
    <row r="39" spans="1:9" x14ac:dyDescent="0.3">
      <c r="A39" t="s">
        <v>315</v>
      </c>
      <c r="B39" t="s">
        <v>315</v>
      </c>
      <c r="C39" t="s">
        <v>38</v>
      </c>
      <c r="D39" t="s">
        <v>61</v>
      </c>
      <c r="E39" t="s">
        <v>21</v>
      </c>
      <c r="F39" t="s">
        <v>21</v>
      </c>
      <c r="G39" t="s">
        <v>316</v>
      </c>
      <c r="H39" t="s">
        <v>317</v>
      </c>
      <c r="I39" t="s">
        <v>318</v>
      </c>
    </row>
    <row r="40" spans="1:9" x14ac:dyDescent="0.3">
      <c r="A40" t="s">
        <v>319</v>
      </c>
      <c r="B40" t="s">
        <v>320</v>
      </c>
      <c r="C40" t="s">
        <v>38</v>
      </c>
      <c r="D40" t="s">
        <v>39</v>
      </c>
      <c r="E40" t="s">
        <v>53</v>
      </c>
      <c r="F40" t="s">
        <v>39</v>
      </c>
      <c r="G40" t="s">
        <v>321</v>
      </c>
      <c r="H40" t="s">
        <v>322</v>
      </c>
      <c r="I40" t="s">
        <v>323</v>
      </c>
    </row>
    <row r="41" spans="1:9" x14ac:dyDescent="0.3">
      <c r="A41" t="s">
        <v>324</v>
      </c>
      <c r="B41" t="s">
        <v>325</v>
      </c>
      <c r="C41" t="s">
        <v>326</v>
      </c>
      <c r="D41" t="s">
        <v>112</v>
      </c>
      <c r="E41" t="s">
        <v>327</v>
      </c>
      <c r="F41" t="s">
        <v>328</v>
      </c>
      <c r="G41" t="s">
        <v>329</v>
      </c>
      <c r="H41" t="s">
        <v>330</v>
      </c>
      <c r="I41" t="s">
        <v>331</v>
      </c>
    </row>
    <row r="42" spans="1:9" x14ac:dyDescent="0.3">
      <c r="A42" t="s">
        <v>332</v>
      </c>
      <c r="B42" t="s">
        <v>333</v>
      </c>
      <c r="C42" t="s">
        <v>334</v>
      </c>
      <c r="D42" t="s">
        <v>335</v>
      </c>
      <c r="E42" t="s">
        <v>336</v>
      </c>
      <c r="F42" t="s">
        <v>337</v>
      </c>
      <c r="G42" t="s">
        <v>338</v>
      </c>
      <c r="H42" t="s">
        <v>339</v>
      </c>
      <c r="I42" t="s">
        <v>340</v>
      </c>
    </row>
    <row r="43" spans="1:9" x14ac:dyDescent="0.3">
      <c r="A43" t="s">
        <v>341</v>
      </c>
      <c r="B43" t="s">
        <v>342</v>
      </c>
      <c r="C43" t="s">
        <v>343</v>
      </c>
      <c r="D43" t="s">
        <v>344</v>
      </c>
      <c r="E43" t="s">
        <v>345</v>
      </c>
      <c r="F43" t="s">
        <v>346</v>
      </c>
      <c r="G43" t="s">
        <v>347</v>
      </c>
      <c r="H43" t="s">
        <v>348</v>
      </c>
      <c r="I43" t="s">
        <v>349</v>
      </c>
    </row>
    <row r="44" spans="1:9" x14ac:dyDescent="0.3">
      <c r="A44" t="s">
        <v>350</v>
      </c>
      <c r="B44" t="s">
        <v>351</v>
      </c>
      <c r="C44" t="s">
        <v>352</v>
      </c>
      <c r="D44" t="s">
        <v>353</v>
      </c>
      <c r="E44" t="s">
        <v>354</v>
      </c>
      <c r="F44" t="s">
        <v>355</v>
      </c>
      <c r="G44" t="s">
        <v>356</v>
      </c>
      <c r="H44" t="s">
        <v>357</v>
      </c>
      <c r="I44" t="s">
        <v>358</v>
      </c>
    </row>
    <row r="45" spans="1:9" x14ac:dyDescent="0.3">
      <c r="A45" t="s">
        <v>359</v>
      </c>
      <c r="B45" t="s">
        <v>360</v>
      </c>
      <c r="C45" t="s">
        <v>361</v>
      </c>
      <c r="D45" t="s">
        <v>21</v>
      </c>
      <c r="E45" t="s">
        <v>362</v>
      </c>
      <c r="F45" t="s">
        <v>363</v>
      </c>
      <c r="G45" t="s">
        <v>364</v>
      </c>
      <c r="H45" t="s">
        <v>365</v>
      </c>
      <c r="I45" t="s">
        <v>366</v>
      </c>
    </row>
    <row r="46" spans="1:9" x14ac:dyDescent="0.3">
      <c r="A46" t="s">
        <v>367</v>
      </c>
      <c r="B46" t="s">
        <v>368</v>
      </c>
      <c r="C46" t="s">
        <v>361</v>
      </c>
      <c r="D46" t="s">
        <v>21</v>
      </c>
      <c r="E46" t="s">
        <v>369</v>
      </c>
      <c r="F46" t="s">
        <v>370</v>
      </c>
      <c r="G46" t="s">
        <v>371</v>
      </c>
      <c r="H46" t="s">
        <v>372</v>
      </c>
      <c r="I46" t="s">
        <v>373</v>
      </c>
    </row>
    <row r="47" spans="1:9" x14ac:dyDescent="0.3">
      <c r="A47" t="s">
        <v>374</v>
      </c>
      <c r="B47" t="s">
        <v>375</v>
      </c>
      <c r="C47" t="s">
        <v>376</v>
      </c>
      <c r="D47" t="s">
        <v>377</v>
      </c>
      <c r="E47" t="s">
        <v>378</v>
      </c>
      <c r="F47" t="s">
        <v>335</v>
      </c>
      <c r="G47" t="s">
        <v>379</v>
      </c>
      <c r="H47" t="s">
        <v>380</v>
      </c>
      <c r="I47" t="s">
        <v>381</v>
      </c>
    </row>
    <row r="48" spans="1:9" x14ac:dyDescent="0.3">
      <c r="A48" t="s">
        <v>382</v>
      </c>
      <c r="B48" t="s">
        <v>383</v>
      </c>
      <c r="C48" t="s">
        <v>384</v>
      </c>
      <c r="D48" t="s">
        <v>39</v>
      </c>
      <c r="E48" t="s">
        <v>385</v>
      </c>
      <c r="F48" t="s">
        <v>386</v>
      </c>
      <c r="G48" t="s">
        <v>387</v>
      </c>
      <c r="H48" t="s">
        <v>388</v>
      </c>
      <c r="I48" t="s">
        <v>389</v>
      </c>
    </row>
    <row r="49" spans="1:9" x14ac:dyDescent="0.3">
      <c r="A49" t="s">
        <v>390</v>
      </c>
      <c r="B49" t="s">
        <v>391</v>
      </c>
      <c r="C49" t="s">
        <v>392</v>
      </c>
      <c r="D49" t="s">
        <v>61</v>
      </c>
      <c r="E49" t="s">
        <v>393</v>
      </c>
      <c r="F49" t="s">
        <v>223</v>
      </c>
      <c r="G49" t="s">
        <v>394</v>
      </c>
      <c r="H49" t="s">
        <v>395</v>
      </c>
      <c r="I49" t="s">
        <v>396</v>
      </c>
    </row>
    <row r="50" spans="1:9" x14ac:dyDescent="0.3">
      <c r="A50" t="s">
        <v>397</v>
      </c>
      <c r="B50" t="s">
        <v>398</v>
      </c>
      <c r="C50" t="s">
        <v>399</v>
      </c>
      <c r="D50" t="s">
        <v>400</v>
      </c>
      <c r="E50" t="s">
        <v>401</v>
      </c>
      <c r="F50" t="s">
        <v>139</v>
      </c>
      <c r="G50" t="s">
        <v>402</v>
      </c>
      <c r="H50" t="s">
        <v>403</v>
      </c>
      <c r="I50" t="s">
        <v>404</v>
      </c>
    </row>
    <row r="51" spans="1:9" x14ac:dyDescent="0.3">
      <c r="A51" t="s">
        <v>405</v>
      </c>
      <c r="B51" t="s">
        <v>405</v>
      </c>
      <c r="C51" t="s">
        <v>38</v>
      </c>
      <c r="D51" t="s">
        <v>53</v>
      </c>
      <c r="E51" t="s">
        <v>21</v>
      </c>
      <c r="F51" t="s">
        <v>62</v>
      </c>
      <c r="G51" t="s">
        <v>406</v>
      </c>
      <c r="H51" t="s">
        <v>407</v>
      </c>
      <c r="I51" t="s">
        <v>408</v>
      </c>
    </row>
    <row r="52" spans="1:9" x14ac:dyDescent="0.3">
      <c r="A52" t="s">
        <v>409</v>
      </c>
      <c r="B52" t="s">
        <v>410</v>
      </c>
      <c r="C52" t="s">
        <v>38</v>
      </c>
      <c r="D52" t="s">
        <v>61</v>
      </c>
      <c r="E52" t="s">
        <v>21</v>
      </c>
      <c r="F52" t="s">
        <v>288</v>
      </c>
      <c r="G52" t="s">
        <v>411</v>
      </c>
      <c r="H52" t="s">
        <v>412</v>
      </c>
      <c r="I52" t="s">
        <v>413</v>
      </c>
    </row>
    <row r="53" spans="1:9" x14ac:dyDescent="0.3">
      <c r="A53" t="s">
        <v>414</v>
      </c>
      <c r="B53" t="s">
        <v>415</v>
      </c>
      <c r="C53" t="s">
        <v>416</v>
      </c>
      <c r="D53" t="s">
        <v>328</v>
      </c>
      <c r="E53" t="s">
        <v>417</v>
      </c>
      <c r="F53" t="s">
        <v>418</v>
      </c>
      <c r="G53" t="s">
        <v>419</v>
      </c>
      <c r="H53" t="s">
        <v>420</v>
      </c>
      <c r="I53" t="s">
        <v>421</v>
      </c>
    </row>
    <row r="54" spans="1:9" x14ac:dyDescent="0.3">
      <c r="A54" t="s">
        <v>422</v>
      </c>
      <c r="B54" t="s">
        <v>423</v>
      </c>
      <c r="C54" t="s">
        <v>424</v>
      </c>
      <c r="D54" t="s">
        <v>181</v>
      </c>
      <c r="E54" t="s">
        <v>425</v>
      </c>
      <c r="F54" t="s">
        <v>426</v>
      </c>
      <c r="G54" t="s">
        <v>427</v>
      </c>
      <c r="H54" t="s">
        <v>428</v>
      </c>
      <c r="I54" t="s">
        <v>429</v>
      </c>
    </row>
    <row r="55" spans="1:9" x14ac:dyDescent="0.3">
      <c r="A55" t="s">
        <v>430</v>
      </c>
      <c r="B55" t="s">
        <v>431</v>
      </c>
      <c r="C55" t="s">
        <v>432</v>
      </c>
      <c r="D55" t="s">
        <v>21</v>
      </c>
      <c r="E55" t="s">
        <v>433</v>
      </c>
      <c r="F55" t="s">
        <v>148</v>
      </c>
      <c r="G55" t="s">
        <v>434</v>
      </c>
      <c r="H55" t="s">
        <v>435</v>
      </c>
      <c r="I55" t="s">
        <v>436</v>
      </c>
    </row>
    <row r="56" spans="1:9" x14ac:dyDescent="0.3">
      <c r="A56" t="s">
        <v>437</v>
      </c>
      <c r="B56" t="s">
        <v>438</v>
      </c>
      <c r="C56" t="s">
        <v>439</v>
      </c>
      <c r="D56" t="s">
        <v>440</v>
      </c>
      <c r="E56" t="s">
        <v>441</v>
      </c>
      <c r="F56" t="s">
        <v>442</v>
      </c>
      <c r="G56" t="s">
        <v>443</v>
      </c>
      <c r="H56" t="s">
        <v>444</v>
      </c>
      <c r="I56" t="s">
        <v>445</v>
      </c>
    </row>
    <row r="57" spans="1:9" x14ac:dyDescent="0.3">
      <c r="A57" t="s">
        <v>446</v>
      </c>
      <c r="B57" t="s">
        <v>447</v>
      </c>
      <c r="C57" t="s">
        <v>448</v>
      </c>
      <c r="D57" t="s">
        <v>449</v>
      </c>
      <c r="E57" t="s">
        <v>450</v>
      </c>
      <c r="F57" t="s">
        <v>199</v>
      </c>
      <c r="G57" t="s">
        <v>451</v>
      </c>
      <c r="H57" t="s">
        <v>452</v>
      </c>
      <c r="I57" t="s">
        <v>453</v>
      </c>
    </row>
    <row r="58" spans="1:9" x14ac:dyDescent="0.3">
      <c r="A58" t="s">
        <v>454</v>
      </c>
      <c r="B58" t="s">
        <v>455</v>
      </c>
      <c r="C58" t="s">
        <v>456</v>
      </c>
      <c r="D58" t="s">
        <v>190</v>
      </c>
      <c r="E58" t="s">
        <v>457</v>
      </c>
      <c r="F58" t="s">
        <v>458</v>
      </c>
      <c r="G58" t="s">
        <v>459</v>
      </c>
      <c r="H58" t="s">
        <v>460</v>
      </c>
      <c r="I58" t="s">
        <v>461</v>
      </c>
    </row>
    <row r="59" spans="1:9" x14ac:dyDescent="0.3">
      <c r="A59" t="s">
        <v>462</v>
      </c>
      <c r="B59" t="s">
        <v>463</v>
      </c>
      <c r="C59" t="s">
        <v>464</v>
      </c>
      <c r="D59" t="s">
        <v>465</v>
      </c>
      <c r="E59" t="s">
        <v>466</v>
      </c>
      <c r="F59" t="s">
        <v>467</v>
      </c>
      <c r="G59" t="s">
        <v>468</v>
      </c>
      <c r="H59" t="s">
        <v>469</v>
      </c>
      <c r="I59" t="s">
        <v>470</v>
      </c>
    </row>
    <row r="60" spans="1:9" x14ac:dyDescent="0.3">
      <c r="A60" t="s">
        <v>471</v>
      </c>
      <c r="B60" t="s">
        <v>472</v>
      </c>
      <c r="C60" t="s">
        <v>473</v>
      </c>
      <c r="D60" t="s">
        <v>474</v>
      </c>
      <c r="E60" t="s">
        <v>475</v>
      </c>
      <c r="F60" t="s">
        <v>476</v>
      </c>
      <c r="G60" t="s">
        <v>477</v>
      </c>
      <c r="H60" t="s">
        <v>478</v>
      </c>
      <c r="I60" t="s">
        <v>479</v>
      </c>
    </row>
    <row r="61" spans="1:9" x14ac:dyDescent="0.3">
      <c r="A61" t="s">
        <v>480</v>
      </c>
      <c r="B61" t="s">
        <v>481</v>
      </c>
      <c r="C61" t="s">
        <v>482</v>
      </c>
      <c r="D61" t="s">
        <v>483</v>
      </c>
      <c r="E61" t="s">
        <v>484</v>
      </c>
      <c r="F61" t="s">
        <v>485</v>
      </c>
      <c r="G61" t="s">
        <v>486</v>
      </c>
      <c r="H61" t="s">
        <v>487</v>
      </c>
      <c r="I61" t="s">
        <v>488</v>
      </c>
    </row>
    <row r="62" spans="1:9" x14ac:dyDescent="0.3">
      <c r="A62" t="s">
        <v>489</v>
      </c>
      <c r="B62" t="s">
        <v>490</v>
      </c>
      <c r="C62" t="s">
        <v>491</v>
      </c>
      <c r="D62" t="s">
        <v>492</v>
      </c>
      <c r="E62" t="s">
        <v>493</v>
      </c>
      <c r="F62" t="s">
        <v>337</v>
      </c>
      <c r="G62" t="s">
        <v>494</v>
      </c>
      <c r="H62" t="s">
        <v>495</v>
      </c>
      <c r="I62" t="s">
        <v>496</v>
      </c>
    </row>
    <row r="63" spans="1:9" x14ac:dyDescent="0.3">
      <c r="A63" t="s">
        <v>497</v>
      </c>
      <c r="B63" t="s">
        <v>498</v>
      </c>
      <c r="C63" t="s">
        <v>499</v>
      </c>
      <c r="D63" t="s">
        <v>500</v>
      </c>
      <c r="E63" t="s">
        <v>336</v>
      </c>
      <c r="F63" t="s">
        <v>501</v>
      </c>
      <c r="G63" t="s">
        <v>502</v>
      </c>
      <c r="H63" t="s">
        <v>503</v>
      </c>
      <c r="I63" t="s">
        <v>504</v>
      </c>
    </row>
    <row r="64" spans="1:9" x14ac:dyDescent="0.3">
      <c r="A64" t="s">
        <v>505</v>
      </c>
      <c r="B64" t="s">
        <v>506</v>
      </c>
      <c r="C64" t="s">
        <v>507</v>
      </c>
      <c r="D64" t="s">
        <v>264</v>
      </c>
      <c r="E64" t="s">
        <v>508</v>
      </c>
      <c r="F64" t="s">
        <v>509</v>
      </c>
      <c r="G64" t="s">
        <v>510</v>
      </c>
      <c r="H64" t="s">
        <v>511</v>
      </c>
      <c r="I64" t="s">
        <v>512</v>
      </c>
    </row>
    <row r="65" spans="1:9" x14ac:dyDescent="0.3">
      <c r="A65" t="s">
        <v>513</v>
      </c>
      <c r="B65" t="s">
        <v>514</v>
      </c>
      <c r="C65" t="s">
        <v>515</v>
      </c>
      <c r="D65" t="s">
        <v>175</v>
      </c>
      <c r="E65" t="s">
        <v>516</v>
      </c>
      <c r="F65" t="s">
        <v>517</v>
      </c>
      <c r="G65" t="s">
        <v>518</v>
      </c>
      <c r="H65" t="s">
        <v>519</v>
      </c>
      <c r="I65" t="s">
        <v>520</v>
      </c>
    </row>
    <row r="66" spans="1:9" x14ac:dyDescent="0.3">
      <c r="A66" t="s">
        <v>521</v>
      </c>
      <c r="B66" t="s">
        <v>522</v>
      </c>
      <c r="C66" t="s">
        <v>523</v>
      </c>
      <c r="D66" t="s">
        <v>147</v>
      </c>
      <c r="E66" t="s">
        <v>524</v>
      </c>
      <c r="F66" t="s">
        <v>525</v>
      </c>
      <c r="G66" t="s">
        <v>526</v>
      </c>
      <c r="H66" t="s">
        <v>527</v>
      </c>
      <c r="I66" t="s">
        <v>528</v>
      </c>
    </row>
    <row r="67" spans="1:9" x14ac:dyDescent="0.3">
      <c r="A67" t="s">
        <v>529</v>
      </c>
      <c r="B67" t="s">
        <v>530</v>
      </c>
      <c r="C67" t="s">
        <v>531</v>
      </c>
      <c r="D67" t="s">
        <v>209</v>
      </c>
      <c r="E67" t="s">
        <v>532</v>
      </c>
      <c r="F67" t="s">
        <v>533</v>
      </c>
      <c r="G67" t="s">
        <v>534</v>
      </c>
      <c r="H67" t="s">
        <v>535</v>
      </c>
      <c r="I67" t="s">
        <v>536</v>
      </c>
    </row>
    <row r="68" spans="1:9" x14ac:dyDescent="0.3">
      <c r="A68" t="s">
        <v>537</v>
      </c>
      <c r="B68" t="s">
        <v>538</v>
      </c>
      <c r="C68" t="s">
        <v>539</v>
      </c>
      <c r="D68" t="s">
        <v>540</v>
      </c>
      <c r="E68" t="s">
        <v>541</v>
      </c>
      <c r="F68" t="s">
        <v>542</v>
      </c>
      <c r="G68" t="s">
        <v>543</v>
      </c>
      <c r="H68" t="s">
        <v>544</v>
      </c>
      <c r="I68" t="s">
        <v>545</v>
      </c>
    </row>
    <row r="69" spans="1:9" x14ac:dyDescent="0.3">
      <c r="A69" t="s">
        <v>546</v>
      </c>
      <c r="B69" t="s">
        <v>547</v>
      </c>
      <c r="C69" t="s">
        <v>548</v>
      </c>
      <c r="D69" t="s">
        <v>138</v>
      </c>
      <c r="E69" t="s">
        <v>549</v>
      </c>
      <c r="F69" t="s">
        <v>378</v>
      </c>
      <c r="G69" t="s">
        <v>550</v>
      </c>
      <c r="H69" t="s">
        <v>551</v>
      </c>
      <c r="I69" t="s">
        <v>552</v>
      </c>
    </row>
    <row r="70" spans="1:9" x14ac:dyDescent="0.3">
      <c r="A70" t="s">
        <v>553</v>
      </c>
      <c r="B70" t="s">
        <v>554</v>
      </c>
      <c r="C70" t="s">
        <v>555</v>
      </c>
      <c r="D70" t="s">
        <v>378</v>
      </c>
      <c r="E70" t="s">
        <v>158</v>
      </c>
      <c r="F70" t="s">
        <v>556</v>
      </c>
      <c r="G70" t="s">
        <v>557</v>
      </c>
      <c r="H70" t="s">
        <v>558</v>
      </c>
      <c r="I70" t="s">
        <v>559</v>
      </c>
    </row>
    <row r="71" spans="1:9" x14ac:dyDescent="0.3">
      <c r="A71" t="s">
        <v>560</v>
      </c>
      <c r="B71" t="s">
        <v>561</v>
      </c>
      <c r="C71" t="s">
        <v>562</v>
      </c>
      <c r="D71" t="s">
        <v>563</v>
      </c>
      <c r="E71" t="s">
        <v>564</v>
      </c>
      <c r="F71" t="s">
        <v>565</v>
      </c>
      <c r="G71" t="s">
        <v>566</v>
      </c>
      <c r="H71" t="s">
        <v>567</v>
      </c>
      <c r="I71" t="s">
        <v>568</v>
      </c>
    </row>
    <row r="72" spans="1:9" x14ac:dyDescent="0.3">
      <c r="A72" t="s">
        <v>569</v>
      </c>
      <c r="B72" t="s">
        <v>570</v>
      </c>
      <c r="C72" t="s">
        <v>571</v>
      </c>
      <c r="D72" t="s">
        <v>62</v>
      </c>
      <c r="E72" t="s">
        <v>61</v>
      </c>
      <c r="F72" t="s">
        <v>400</v>
      </c>
      <c r="G72" t="s">
        <v>572</v>
      </c>
      <c r="H72" t="s">
        <v>573</v>
      </c>
      <c r="I72" t="s">
        <v>574</v>
      </c>
    </row>
    <row r="73" spans="1:9" x14ac:dyDescent="0.3">
      <c r="A73" t="s">
        <v>575</v>
      </c>
      <c r="B73" t="s">
        <v>576</v>
      </c>
      <c r="C73" t="s">
        <v>577</v>
      </c>
      <c r="D73" t="s">
        <v>181</v>
      </c>
      <c r="E73" t="s">
        <v>113</v>
      </c>
      <c r="F73" t="s">
        <v>578</v>
      </c>
      <c r="G73" t="s">
        <v>579</v>
      </c>
      <c r="H73" t="s">
        <v>580</v>
      </c>
      <c r="I73" t="s">
        <v>581</v>
      </c>
    </row>
    <row r="74" spans="1:9" x14ac:dyDescent="0.3">
      <c r="A74" t="s">
        <v>582</v>
      </c>
      <c r="B74" t="s">
        <v>583</v>
      </c>
      <c r="C74" t="s">
        <v>584</v>
      </c>
      <c r="D74" t="s">
        <v>585</v>
      </c>
      <c r="E74" t="s">
        <v>586</v>
      </c>
      <c r="F74" t="s">
        <v>587</v>
      </c>
      <c r="G74" t="s">
        <v>588</v>
      </c>
      <c r="H74" t="s">
        <v>589</v>
      </c>
      <c r="I74" t="s">
        <v>590</v>
      </c>
    </row>
    <row r="75" spans="1:9" x14ac:dyDescent="0.3">
      <c r="A75" t="s">
        <v>591</v>
      </c>
      <c r="B75" t="s">
        <v>592</v>
      </c>
      <c r="C75" t="s">
        <v>593</v>
      </c>
      <c r="D75" t="s">
        <v>207</v>
      </c>
      <c r="E75" t="s">
        <v>594</v>
      </c>
      <c r="F75" t="s">
        <v>61</v>
      </c>
      <c r="G75" t="s">
        <v>595</v>
      </c>
      <c r="H75" t="s">
        <v>596</v>
      </c>
      <c r="I75" t="s">
        <v>597</v>
      </c>
    </row>
    <row r="76" spans="1:9" x14ac:dyDescent="0.3">
      <c r="A76" t="s">
        <v>598</v>
      </c>
      <c r="B76" t="s">
        <v>599</v>
      </c>
      <c r="C76" t="s">
        <v>600</v>
      </c>
      <c r="D76" t="s">
        <v>53</v>
      </c>
      <c r="E76" t="s">
        <v>264</v>
      </c>
      <c r="F76" t="s">
        <v>601</v>
      </c>
      <c r="G76" t="s">
        <v>602</v>
      </c>
      <c r="H76" t="s">
        <v>603</v>
      </c>
      <c r="I76" t="s">
        <v>604</v>
      </c>
    </row>
    <row r="77" spans="1:9" x14ac:dyDescent="0.3">
      <c r="A77" t="s">
        <v>605</v>
      </c>
      <c r="B77" t="s">
        <v>606</v>
      </c>
      <c r="C77" t="s">
        <v>607</v>
      </c>
      <c r="D77" t="s">
        <v>608</v>
      </c>
      <c r="E77" t="s">
        <v>609</v>
      </c>
      <c r="F77" t="s">
        <v>610</v>
      </c>
      <c r="G77" t="s">
        <v>611</v>
      </c>
      <c r="H77" t="s">
        <v>612</v>
      </c>
      <c r="I77" t="s">
        <v>613</v>
      </c>
    </row>
    <row r="78" spans="1:9" x14ac:dyDescent="0.3">
      <c r="A78" t="s">
        <v>614</v>
      </c>
      <c r="B78" t="s">
        <v>615</v>
      </c>
      <c r="C78" t="s">
        <v>616</v>
      </c>
      <c r="D78" t="s">
        <v>328</v>
      </c>
      <c r="E78" t="s">
        <v>95</v>
      </c>
      <c r="F78" t="s">
        <v>617</v>
      </c>
      <c r="G78" t="s">
        <v>618</v>
      </c>
      <c r="H78" t="s">
        <v>619</v>
      </c>
      <c r="I78" t="s">
        <v>620</v>
      </c>
    </row>
    <row r="79" spans="1:9" x14ac:dyDescent="0.3">
      <c r="A79" t="s">
        <v>621</v>
      </c>
      <c r="B79" t="s">
        <v>622</v>
      </c>
      <c r="C79" t="s">
        <v>623</v>
      </c>
      <c r="D79" t="s">
        <v>624</v>
      </c>
      <c r="E79" t="s">
        <v>625</v>
      </c>
      <c r="F79" t="s">
        <v>626</v>
      </c>
      <c r="G79" t="s">
        <v>627</v>
      </c>
      <c r="H79" t="s">
        <v>628</v>
      </c>
      <c r="I79" t="s">
        <v>629</v>
      </c>
    </row>
    <row r="80" spans="1:9" x14ac:dyDescent="0.3">
      <c r="A80" t="s">
        <v>630</v>
      </c>
      <c r="B80" t="s">
        <v>631</v>
      </c>
      <c r="C80" t="s">
        <v>632</v>
      </c>
      <c r="D80" t="s">
        <v>633</v>
      </c>
      <c r="E80" t="s">
        <v>23</v>
      </c>
      <c r="F80" t="s">
        <v>634</v>
      </c>
      <c r="G80" t="s">
        <v>635</v>
      </c>
      <c r="H80" t="s">
        <v>636</v>
      </c>
      <c r="I80" t="s">
        <v>637</v>
      </c>
    </row>
    <row r="81" spans="1:9" x14ac:dyDescent="0.3">
      <c r="A81" t="s">
        <v>638</v>
      </c>
      <c r="B81" t="s">
        <v>639</v>
      </c>
      <c r="C81" t="s">
        <v>640</v>
      </c>
      <c r="D81" t="s">
        <v>474</v>
      </c>
      <c r="E81" t="s">
        <v>21</v>
      </c>
      <c r="F81" t="s">
        <v>641</v>
      </c>
      <c r="G81" t="s">
        <v>642</v>
      </c>
      <c r="H81" t="s">
        <v>643</v>
      </c>
      <c r="I81" t="s">
        <v>590</v>
      </c>
    </row>
    <row r="82" spans="1:9" x14ac:dyDescent="0.3">
      <c r="A82" t="s">
        <v>644</v>
      </c>
      <c r="B82" t="s">
        <v>645</v>
      </c>
      <c r="C82" t="s">
        <v>646</v>
      </c>
      <c r="D82" t="s">
        <v>647</v>
      </c>
      <c r="E82" t="s">
        <v>648</v>
      </c>
      <c r="F82" t="s">
        <v>328</v>
      </c>
      <c r="G82" t="s">
        <v>649</v>
      </c>
      <c r="H82" t="s">
        <v>650</v>
      </c>
      <c r="I82" t="s">
        <v>651</v>
      </c>
    </row>
    <row r="83" spans="1:9" x14ac:dyDescent="0.3">
      <c r="A83" t="s">
        <v>652</v>
      </c>
      <c r="B83" t="s">
        <v>653</v>
      </c>
      <c r="C83" t="s">
        <v>654</v>
      </c>
      <c r="D83" t="s">
        <v>45</v>
      </c>
      <c r="E83" t="s">
        <v>516</v>
      </c>
      <c r="F83" t="s">
        <v>655</v>
      </c>
      <c r="G83" t="s">
        <v>656</v>
      </c>
      <c r="H83" t="s">
        <v>657</v>
      </c>
      <c r="I83" t="s">
        <v>658</v>
      </c>
    </row>
    <row r="84" spans="1:9" x14ac:dyDescent="0.3">
      <c r="A84" t="s">
        <v>659</v>
      </c>
      <c r="B84" t="s">
        <v>660</v>
      </c>
      <c r="C84" t="s">
        <v>661</v>
      </c>
      <c r="D84" t="s">
        <v>139</v>
      </c>
      <c r="E84" t="s">
        <v>662</v>
      </c>
      <c r="F84" t="s">
        <v>663</v>
      </c>
      <c r="G84" t="s">
        <v>664</v>
      </c>
      <c r="H84" t="s">
        <v>665</v>
      </c>
      <c r="I84" t="s">
        <v>651</v>
      </c>
    </row>
    <row r="85" spans="1:9" x14ac:dyDescent="0.3">
      <c r="A85" t="s">
        <v>666</v>
      </c>
      <c r="B85" t="s">
        <v>667</v>
      </c>
      <c r="C85" t="s">
        <v>668</v>
      </c>
      <c r="D85" t="s">
        <v>138</v>
      </c>
      <c r="E85" t="s">
        <v>669</v>
      </c>
      <c r="F85" t="s">
        <v>670</v>
      </c>
      <c r="G85" t="s">
        <v>671</v>
      </c>
      <c r="H85" t="s">
        <v>672</v>
      </c>
      <c r="I85" t="s">
        <v>673</v>
      </c>
    </row>
    <row r="86" spans="1:9" x14ac:dyDescent="0.3">
      <c r="A86" t="s">
        <v>674</v>
      </c>
      <c r="B86" t="s">
        <v>675</v>
      </c>
      <c r="C86" t="s">
        <v>676</v>
      </c>
      <c r="D86" t="s">
        <v>69</v>
      </c>
      <c r="E86" t="s">
        <v>677</v>
      </c>
      <c r="F86" t="s">
        <v>678</v>
      </c>
      <c r="G86" t="s">
        <v>679</v>
      </c>
      <c r="H86" t="s">
        <v>680</v>
      </c>
      <c r="I86" t="s">
        <v>681</v>
      </c>
    </row>
    <row r="87" spans="1:9" x14ac:dyDescent="0.3">
      <c r="A87" t="s">
        <v>682</v>
      </c>
      <c r="B87" t="s">
        <v>683</v>
      </c>
      <c r="C87" t="s">
        <v>684</v>
      </c>
      <c r="D87" t="s">
        <v>400</v>
      </c>
      <c r="E87" t="s">
        <v>685</v>
      </c>
      <c r="F87" t="s">
        <v>686</v>
      </c>
      <c r="G87" t="s">
        <v>687</v>
      </c>
      <c r="H87" t="s">
        <v>688</v>
      </c>
      <c r="I87" t="s">
        <v>689</v>
      </c>
    </row>
    <row r="88" spans="1:9" x14ac:dyDescent="0.3">
      <c r="A88" t="s">
        <v>690</v>
      </c>
      <c r="B88" t="s">
        <v>690</v>
      </c>
      <c r="C88" t="s">
        <v>691</v>
      </c>
      <c r="D88" t="s">
        <v>692</v>
      </c>
      <c r="E88" t="s">
        <v>693</v>
      </c>
      <c r="F88" t="s">
        <v>694</v>
      </c>
      <c r="G88" t="s">
        <v>695</v>
      </c>
      <c r="H88" t="s">
        <v>696</v>
      </c>
      <c r="I88" t="s">
        <v>697</v>
      </c>
    </row>
    <row r="89" spans="1:9" x14ac:dyDescent="0.3">
      <c r="A89" t="s">
        <v>698</v>
      </c>
      <c r="B89" t="s">
        <v>699</v>
      </c>
      <c r="C89" t="s">
        <v>700</v>
      </c>
      <c r="D89" t="s">
        <v>61</v>
      </c>
      <c r="E89" t="s">
        <v>701</v>
      </c>
      <c r="F89" t="s">
        <v>702</v>
      </c>
      <c r="G89" t="s">
        <v>703</v>
      </c>
      <c r="H89" t="s">
        <v>704</v>
      </c>
      <c r="I89" t="s">
        <v>705</v>
      </c>
    </row>
    <row r="90" spans="1:9" x14ac:dyDescent="0.3">
      <c r="A90" t="s">
        <v>706</v>
      </c>
      <c r="B90" t="s">
        <v>706</v>
      </c>
      <c r="C90" t="s">
        <v>707</v>
      </c>
      <c r="D90" t="s">
        <v>708</v>
      </c>
      <c r="E90" t="s">
        <v>709</v>
      </c>
      <c r="F90" t="s">
        <v>710</v>
      </c>
      <c r="G90" t="s">
        <v>711</v>
      </c>
      <c r="H90" t="s">
        <v>712</v>
      </c>
      <c r="I90" t="s">
        <v>713</v>
      </c>
    </row>
    <row r="91" spans="1:9" x14ac:dyDescent="0.3">
      <c r="A91" t="s">
        <v>714</v>
      </c>
      <c r="B91" t="s">
        <v>714</v>
      </c>
      <c r="C91" t="s">
        <v>715</v>
      </c>
      <c r="D91" t="s">
        <v>475</v>
      </c>
      <c r="E91" t="s">
        <v>716</v>
      </c>
      <c r="F91" t="s">
        <v>717</v>
      </c>
      <c r="G91" t="s">
        <v>718</v>
      </c>
      <c r="H91" t="s">
        <v>719</v>
      </c>
      <c r="I91" t="s">
        <v>720</v>
      </c>
    </row>
    <row r="92" spans="1:9" x14ac:dyDescent="0.3">
      <c r="A92" t="s">
        <v>721</v>
      </c>
      <c r="B92" t="s">
        <v>722</v>
      </c>
      <c r="C92" t="s">
        <v>723</v>
      </c>
      <c r="D92" t="s">
        <v>724</v>
      </c>
      <c r="E92" t="s">
        <v>594</v>
      </c>
      <c r="F92" t="s">
        <v>725</v>
      </c>
      <c r="G92" t="s">
        <v>726</v>
      </c>
      <c r="H92" t="s">
        <v>727</v>
      </c>
      <c r="I92" t="s">
        <v>728</v>
      </c>
    </row>
    <row r="93" spans="1:9" x14ac:dyDescent="0.3">
      <c r="A93" t="s">
        <v>729</v>
      </c>
      <c r="B93" t="s">
        <v>730</v>
      </c>
      <c r="C93" t="s">
        <v>731</v>
      </c>
      <c r="D93" t="s">
        <v>78</v>
      </c>
      <c r="E93" t="s">
        <v>732</v>
      </c>
      <c r="F93" t="s">
        <v>733</v>
      </c>
      <c r="G93" t="s">
        <v>734</v>
      </c>
      <c r="H93" t="s">
        <v>735</v>
      </c>
      <c r="I93" t="s">
        <v>736</v>
      </c>
    </row>
    <row r="94" spans="1:9" x14ac:dyDescent="0.3">
      <c r="A94" t="s">
        <v>737</v>
      </c>
      <c r="B94" t="s">
        <v>738</v>
      </c>
      <c r="C94" t="s">
        <v>739</v>
      </c>
      <c r="D94" t="s">
        <v>740</v>
      </c>
      <c r="E94" t="s">
        <v>741</v>
      </c>
      <c r="F94" t="s">
        <v>742</v>
      </c>
      <c r="G94" t="s">
        <v>743</v>
      </c>
      <c r="H94" t="s">
        <v>744</v>
      </c>
      <c r="I94" t="s">
        <v>745</v>
      </c>
    </row>
    <row r="95" spans="1:9" x14ac:dyDescent="0.3">
      <c r="A95" t="s">
        <v>746</v>
      </c>
      <c r="B95" t="s">
        <v>747</v>
      </c>
      <c r="C95" t="s">
        <v>748</v>
      </c>
      <c r="D95" t="s">
        <v>223</v>
      </c>
      <c r="E95" t="s">
        <v>749</v>
      </c>
      <c r="F95" t="s">
        <v>750</v>
      </c>
      <c r="G95" t="s">
        <v>751</v>
      </c>
      <c r="H95" t="s">
        <v>752</v>
      </c>
      <c r="I95" t="s">
        <v>753</v>
      </c>
    </row>
    <row r="96" spans="1:9" x14ac:dyDescent="0.3">
      <c r="A96" t="s">
        <v>754</v>
      </c>
      <c r="B96" t="s">
        <v>755</v>
      </c>
      <c r="C96" t="s">
        <v>756</v>
      </c>
      <c r="D96" t="s">
        <v>264</v>
      </c>
      <c r="E96" t="s">
        <v>104</v>
      </c>
      <c r="F96" t="s">
        <v>757</v>
      </c>
      <c r="G96" t="s">
        <v>758</v>
      </c>
      <c r="H96" t="s">
        <v>759</v>
      </c>
      <c r="I96" t="s">
        <v>760</v>
      </c>
    </row>
    <row r="97" spans="1:9" x14ac:dyDescent="0.3">
      <c r="A97" t="s">
        <v>761</v>
      </c>
      <c r="B97" t="s">
        <v>762</v>
      </c>
      <c r="C97" t="s">
        <v>763</v>
      </c>
      <c r="D97" t="s">
        <v>139</v>
      </c>
      <c r="E97" t="s">
        <v>764</v>
      </c>
      <c r="F97" t="s">
        <v>765</v>
      </c>
      <c r="G97" t="s">
        <v>766</v>
      </c>
      <c r="H97" t="s">
        <v>767</v>
      </c>
      <c r="I97" t="s">
        <v>768</v>
      </c>
    </row>
    <row r="98" spans="1:9" x14ac:dyDescent="0.3">
      <c r="A98" t="s">
        <v>769</v>
      </c>
      <c r="B98" t="s">
        <v>770</v>
      </c>
      <c r="C98" t="s">
        <v>771</v>
      </c>
      <c r="D98" t="s">
        <v>772</v>
      </c>
      <c r="E98" t="s">
        <v>648</v>
      </c>
      <c r="F98" t="s">
        <v>773</v>
      </c>
      <c r="G98" t="s">
        <v>774</v>
      </c>
      <c r="H98" t="s">
        <v>775</v>
      </c>
      <c r="I98" t="s">
        <v>776</v>
      </c>
    </row>
    <row r="99" spans="1:9" x14ac:dyDescent="0.3">
      <c r="A99" t="s">
        <v>777</v>
      </c>
      <c r="B99" t="s">
        <v>778</v>
      </c>
      <c r="C99" t="s">
        <v>779</v>
      </c>
      <c r="D99" t="s">
        <v>474</v>
      </c>
      <c r="E99" t="s">
        <v>780</v>
      </c>
      <c r="F99" t="s">
        <v>467</v>
      </c>
      <c r="G99" t="s">
        <v>781</v>
      </c>
      <c r="H99" t="s">
        <v>782</v>
      </c>
      <c r="I99" t="s">
        <v>783</v>
      </c>
    </row>
    <row r="100" spans="1:9" x14ac:dyDescent="0.3">
      <c r="A100" t="s">
        <v>784</v>
      </c>
      <c r="B100" t="s">
        <v>785</v>
      </c>
      <c r="C100" t="s">
        <v>786</v>
      </c>
      <c r="D100" t="s">
        <v>647</v>
      </c>
      <c r="E100" t="s">
        <v>787</v>
      </c>
      <c r="F100" t="s">
        <v>788</v>
      </c>
      <c r="G100" t="s">
        <v>789</v>
      </c>
      <c r="H100" t="s">
        <v>790</v>
      </c>
      <c r="I100" t="s">
        <v>791</v>
      </c>
    </row>
    <row r="101" spans="1:9" x14ac:dyDescent="0.3">
      <c r="A101" t="s">
        <v>792</v>
      </c>
      <c r="B101" t="s">
        <v>793</v>
      </c>
      <c r="C101" t="s">
        <v>794</v>
      </c>
      <c r="D101" t="s">
        <v>47</v>
      </c>
      <c r="E101" t="s">
        <v>795</v>
      </c>
      <c r="F101" t="s">
        <v>796</v>
      </c>
      <c r="G101" t="s">
        <v>797</v>
      </c>
      <c r="H101" t="s">
        <v>798</v>
      </c>
      <c r="I101" t="s">
        <v>799</v>
      </c>
    </row>
    <row r="102" spans="1:9" x14ac:dyDescent="0.3">
      <c r="A102" t="s">
        <v>800</v>
      </c>
      <c r="B102" t="s">
        <v>801</v>
      </c>
      <c r="C102" t="s">
        <v>802</v>
      </c>
      <c r="D102" t="s">
        <v>264</v>
      </c>
      <c r="E102" t="s">
        <v>803</v>
      </c>
      <c r="F102" t="s">
        <v>157</v>
      </c>
      <c r="G102" t="s">
        <v>804</v>
      </c>
      <c r="H102" t="s">
        <v>805</v>
      </c>
      <c r="I102" t="s">
        <v>806</v>
      </c>
    </row>
    <row r="103" spans="1:9" x14ac:dyDescent="0.3">
      <c r="A103" t="s">
        <v>807</v>
      </c>
      <c r="B103" t="s">
        <v>808</v>
      </c>
      <c r="C103" t="s">
        <v>809</v>
      </c>
      <c r="D103" t="s">
        <v>173</v>
      </c>
      <c r="E103" t="s">
        <v>337</v>
      </c>
      <c r="F103" t="s">
        <v>209</v>
      </c>
      <c r="G103" t="s">
        <v>810</v>
      </c>
      <c r="H103" t="s">
        <v>811</v>
      </c>
      <c r="I103" t="s">
        <v>812</v>
      </c>
    </row>
    <row r="104" spans="1:9" x14ac:dyDescent="0.3">
      <c r="A104" t="s">
        <v>813</v>
      </c>
      <c r="B104" t="s">
        <v>814</v>
      </c>
      <c r="C104" t="s">
        <v>815</v>
      </c>
      <c r="D104" t="s">
        <v>62</v>
      </c>
      <c r="E104" t="s">
        <v>816</v>
      </c>
      <c r="F104" t="s">
        <v>817</v>
      </c>
      <c r="G104" t="s">
        <v>818</v>
      </c>
      <c r="H104" t="s">
        <v>819</v>
      </c>
      <c r="I104" t="s">
        <v>820</v>
      </c>
    </row>
    <row r="105" spans="1:9" x14ac:dyDescent="0.3">
      <c r="A105" t="s">
        <v>821</v>
      </c>
      <c r="B105" t="s">
        <v>822</v>
      </c>
      <c r="C105" t="s">
        <v>823</v>
      </c>
      <c r="D105" t="s">
        <v>45</v>
      </c>
      <c r="E105" t="s">
        <v>824</v>
      </c>
      <c r="F105" t="s">
        <v>265</v>
      </c>
      <c r="G105" t="s">
        <v>825</v>
      </c>
      <c r="H105" t="s">
        <v>826</v>
      </c>
      <c r="I105" t="s">
        <v>827</v>
      </c>
    </row>
    <row r="106" spans="1:9" x14ac:dyDescent="0.3">
      <c r="A106" t="s">
        <v>828</v>
      </c>
      <c r="B106" t="s">
        <v>829</v>
      </c>
      <c r="C106" t="s">
        <v>830</v>
      </c>
      <c r="D106" t="s">
        <v>61</v>
      </c>
      <c r="E106" t="s">
        <v>831</v>
      </c>
      <c r="F106" t="s">
        <v>832</v>
      </c>
      <c r="G106" t="s">
        <v>833</v>
      </c>
      <c r="H106" t="s">
        <v>834</v>
      </c>
      <c r="I106" t="s">
        <v>835</v>
      </c>
    </row>
    <row r="107" spans="1:9" x14ac:dyDescent="0.3">
      <c r="A107" t="s">
        <v>836</v>
      </c>
      <c r="B107" t="s">
        <v>837</v>
      </c>
      <c r="C107" t="s">
        <v>838</v>
      </c>
      <c r="D107" t="s">
        <v>839</v>
      </c>
      <c r="E107" t="s">
        <v>840</v>
      </c>
      <c r="F107" t="s">
        <v>841</v>
      </c>
      <c r="G107" t="s">
        <v>842</v>
      </c>
      <c r="H107" t="s">
        <v>843</v>
      </c>
      <c r="I107" t="s">
        <v>844</v>
      </c>
    </row>
    <row r="108" spans="1:9" x14ac:dyDescent="0.3">
      <c r="A108" t="s">
        <v>845</v>
      </c>
      <c r="B108" t="s">
        <v>846</v>
      </c>
      <c r="C108" t="s">
        <v>847</v>
      </c>
      <c r="D108" t="s">
        <v>692</v>
      </c>
      <c r="E108" t="s">
        <v>848</v>
      </c>
      <c r="F108" t="s">
        <v>281</v>
      </c>
      <c r="G108" t="s">
        <v>849</v>
      </c>
      <c r="H108" t="s">
        <v>850</v>
      </c>
      <c r="I108" t="s">
        <v>851</v>
      </c>
    </row>
    <row r="109" spans="1:9" x14ac:dyDescent="0.3">
      <c r="A109" t="s">
        <v>852</v>
      </c>
      <c r="B109" t="s">
        <v>853</v>
      </c>
      <c r="C109" t="s">
        <v>854</v>
      </c>
      <c r="D109" t="s">
        <v>62</v>
      </c>
      <c r="E109" t="s">
        <v>509</v>
      </c>
      <c r="F109" t="s">
        <v>855</v>
      </c>
      <c r="G109" t="s">
        <v>856</v>
      </c>
      <c r="H109" t="s">
        <v>857</v>
      </c>
      <c r="I109" t="s">
        <v>590</v>
      </c>
    </row>
    <row r="110" spans="1:9" x14ac:dyDescent="0.3">
      <c r="A110" t="s">
        <v>858</v>
      </c>
      <c r="B110" t="s">
        <v>859</v>
      </c>
      <c r="C110" t="s">
        <v>860</v>
      </c>
      <c r="D110" t="s">
        <v>223</v>
      </c>
      <c r="E110" t="s">
        <v>861</v>
      </c>
      <c r="F110" t="s">
        <v>862</v>
      </c>
      <c r="G110" t="s">
        <v>863</v>
      </c>
      <c r="H110" t="s">
        <v>864</v>
      </c>
      <c r="I110" t="s">
        <v>865</v>
      </c>
    </row>
    <row r="111" spans="1:9" x14ac:dyDescent="0.3">
      <c r="A111" t="s">
        <v>866</v>
      </c>
      <c r="B111" t="s">
        <v>867</v>
      </c>
      <c r="C111" t="s">
        <v>868</v>
      </c>
      <c r="D111" t="s">
        <v>335</v>
      </c>
      <c r="E111" t="s">
        <v>869</v>
      </c>
      <c r="F111" t="s">
        <v>870</v>
      </c>
      <c r="G111" t="s">
        <v>871</v>
      </c>
      <c r="H111" t="s">
        <v>872</v>
      </c>
      <c r="I111" t="s">
        <v>873</v>
      </c>
    </row>
    <row r="112" spans="1:9" x14ac:dyDescent="0.3">
      <c r="A112" t="s">
        <v>874</v>
      </c>
      <c r="B112" t="s">
        <v>875</v>
      </c>
      <c r="C112" t="s">
        <v>876</v>
      </c>
      <c r="D112" t="s">
        <v>877</v>
      </c>
      <c r="E112" t="s">
        <v>112</v>
      </c>
      <c r="F112" t="s">
        <v>224</v>
      </c>
      <c r="G112" t="s">
        <v>878</v>
      </c>
      <c r="H112" t="s">
        <v>879</v>
      </c>
      <c r="I112" t="s">
        <v>880</v>
      </c>
    </row>
    <row r="113" spans="1:9" x14ac:dyDescent="0.3">
      <c r="A113" t="s">
        <v>881</v>
      </c>
      <c r="B113" t="s">
        <v>882</v>
      </c>
      <c r="C113" t="s">
        <v>883</v>
      </c>
      <c r="D113" t="s">
        <v>884</v>
      </c>
      <c r="E113" t="s">
        <v>885</v>
      </c>
      <c r="F113" t="s">
        <v>886</v>
      </c>
      <c r="G113" t="s">
        <v>887</v>
      </c>
      <c r="H113" t="s">
        <v>888</v>
      </c>
      <c r="I113" t="s">
        <v>651</v>
      </c>
    </row>
    <row r="114" spans="1:9" x14ac:dyDescent="0.3">
      <c r="A114" t="s">
        <v>889</v>
      </c>
      <c r="B114" t="s">
        <v>890</v>
      </c>
      <c r="C114" t="s">
        <v>891</v>
      </c>
      <c r="D114" t="s">
        <v>677</v>
      </c>
      <c r="E114" t="s">
        <v>892</v>
      </c>
      <c r="F114" t="s">
        <v>893</v>
      </c>
      <c r="G114" t="s">
        <v>894</v>
      </c>
      <c r="H114" t="s">
        <v>895</v>
      </c>
      <c r="I114" t="s">
        <v>896</v>
      </c>
    </row>
    <row r="115" spans="1:9" x14ac:dyDescent="0.3">
      <c r="A115" t="s">
        <v>897</v>
      </c>
      <c r="B115" t="s">
        <v>898</v>
      </c>
      <c r="C115" t="s">
        <v>899</v>
      </c>
      <c r="D115" t="s">
        <v>483</v>
      </c>
      <c r="E115" t="s">
        <v>182</v>
      </c>
      <c r="F115" t="s">
        <v>900</v>
      </c>
      <c r="G115" t="s">
        <v>901</v>
      </c>
      <c r="H115" t="s">
        <v>902</v>
      </c>
      <c r="I115" t="s">
        <v>903</v>
      </c>
    </row>
    <row r="116" spans="1:9" x14ac:dyDescent="0.3">
      <c r="A116" t="s">
        <v>904</v>
      </c>
      <c r="B116" t="s">
        <v>905</v>
      </c>
      <c r="C116" t="s">
        <v>906</v>
      </c>
      <c r="D116" t="s">
        <v>907</v>
      </c>
      <c r="E116" t="s">
        <v>908</v>
      </c>
      <c r="F116" t="s">
        <v>909</v>
      </c>
      <c r="G116" t="s">
        <v>910</v>
      </c>
      <c r="H116" t="s">
        <v>911</v>
      </c>
      <c r="I116" t="s">
        <v>912</v>
      </c>
    </row>
    <row r="117" spans="1:9" x14ac:dyDescent="0.3">
      <c r="A117" t="s">
        <v>913</v>
      </c>
      <c r="B117" t="s">
        <v>914</v>
      </c>
      <c r="C117" t="s">
        <v>915</v>
      </c>
      <c r="D117" t="s">
        <v>916</v>
      </c>
      <c r="E117" t="s">
        <v>917</v>
      </c>
      <c r="F117" t="s">
        <v>918</v>
      </c>
      <c r="G117" t="s">
        <v>919</v>
      </c>
      <c r="H117" t="s">
        <v>920</v>
      </c>
      <c r="I117" t="s">
        <v>921</v>
      </c>
    </row>
    <row r="118" spans="1:9" x14ac:dyDescent="0.3">
      <c r="A118" t="s">
        <v>922</v>
      </c>
      <c r="B118" t="s">
        <v>923</v>
      </c>
      <c r="C118" t="s">
        <v>924</v>
      </c>
      <c r="D118" t="s">
        <v>272</v>
      </c>
      <c r="E118" t="s">
        <v>925</v>
      </c>
      <c r="F118" t="s">
        <v>926</v>
      </c>
      <c r="G118" t="s">
        <v>927</v>
      </c>
      <c r="H118" t="s">
        <v>928</v>
      </c>
      <c r="I118" t="s">
        <v>745</v>
      </c>
    </row>
    <row r="119" spans="1:9" x14ac:dyDescent="0.3">
      <c r="A119" t="s">
        <v>929</v>
      </c>
      <c r="B119" t="s">
        <v>930</v>
      </c>
      <c r="C119" t="s">
        <v>931</v>
      </c>
      <c r="D119" t="s">
        <v>69</v>
      </c>
      <c r="E119" t="s">
        <v>932</v>
      </c>
      <c r="F119" t="s">
        <v>933</v>
      </c>
      <c r="G119" t="s">
        <v>934</v>
      </c>
      <c r="H119" t="s">
        <v>935</v>
      </c>
      <c r="I119" t="s">
        <v>936</v>
      </c>
    </row>
    <row r="120" spans="1:9" x14ac:dyDescent="0.3">
      <c r="A120" t="s">
        <v>937</v>
      </c>
      <c r="B120" t="s">
        <v>938</v>
      </c>
      <c r="C120" t="s">
        <v>939</v>
      </c>
      <c r="D120" t="s">
        <v>165</v>
      </c>
      <c r="E120" t="s">
        <v>940</v>
      </c>
      <c r="F120" t="s">
        <v>941</v>
      </c>
      <c r="G120" t="s">
        <v>942</v>
      </c>
      <c r="H120" t="s">
        <v>943</v>
      </c>
      <c r="I120" t="s">
        <v>944</v>
      </c>
    </row>
    <row r="121" spans="1:9" x14ac:dyDescent="0.3">
      <c r="A121" t="s">
        <v>945</v>
      </c>
      <c r="B121" t="s">
        <v>946</v>
      </c>
      <c r="C121" t="s">
        <v>947</v>
      </c>
      <c r="D121" t="s">
        <v>95</v>
      </c>
      <c r="E121" t="s">
        <v>156</v>
      </c>
      <c r="F121" t="s">
        <v>677</v>
      </c>
      <c r="G121" t="s">
        <v>948</v>
      </c>
      <c r="H121" t="s">
        <v>949</v>
      </c>
      <c r="I121" t="s">
        <v>950</v>
      </c>
    </row>
    <row r="122" spans="1:9" x14ac:dyDescent="0.3">
      <c r="A122" t="s">
        <v>951</v>
      </c>
      <c r="B122" t="s">
        <v>952</v>
      </c>
      <c r="C122" t="s">
        <v>953</v>
      </c>
      <c r="D122" t="s">
        <v>272</v>
      </c>
      <c r="E122" t="s">
        <v>954</v>
      </c>
      <c r="F122" t="s">
        <v>609</v>
      </c>
      <c r="G122" t="s">
        <v>955</v>
      </c>
      <c r="H122" t="s">
        <v>956</v>
      </c>
      <c r="I122" t="s">
        <v>479</v>
      </c>
    </row>
    <row r="123" spans="1:9" x14ac:dyDescent="0.3">
      <c r="A123" t="s">
        <v>957</v>
      </c>
      <c r="B123" t="s">
        <v>958</v>
      </c>
      <c r="C123" t="s">
        <v>959</v>
      </c>
      <c r="D123" t="s">
        <v>165</v>
      </c>
      <c r="E123" t="s">
        <v>960</v>
      </c>
      <c r="F123" t="s">
        <v>961</v>
      </c>
      <c r="G123" t="s">
        <v>962</v>
      </c>
      <c r="H123" t="s">
        <v>963</v>
      </c>
      <c r="I123" t="s">
        <v>964</v>
      </c>
    </row>
    <row r="124" spans="1:9" x14ac:dyDescent="0.3">
      <c r="A124" t="s">
        <v>965</v>
      </c>
      <c r="B124" t="s">
        <v>966</v>
      </c>
      <c r="C124" t="s">
        <v>967</v>
      </c>
      <c r="D124" t="s">
        <v>740</v>
      </c>
      <c r="E124" t="s">
        <v>862</v>
      </c>
      <c r="F124" t="s">
        <v>249</v>
      </c>
      <c r="G124" t="s">
        <v>968</v>
      </c>
      <c r="H124" t="s">
        <v>969</v>
      </c>
      <c r="I124" t="s">
        <v>970</v>
      </c>
    </row>
    <row r="125" spans="1:9" x14ac:dyDescent="0.3">
      <c r="A125" t="s">
        <v>971</v>
      </c>
      <c r="B125" t="s">
        <v>972</v>
      </c>
      <c r="C125" t="s">
        <v>973</v>
      </c>
      <c r="D125" t="s">
        <v>974</v>
      </c>
      <c r="E125" t="s">
        <v>975</v>
      </c>
      <c r="F125" t="s">
        <v>976</v>
      </c>
      <c r="G125" t="s">
        <v>977</v>
      </c>
      <c r="H125" t="s">
        <v>978</v>
      </c>
      <c r="I125" t="s">
        <v>979</v>
      </c>
    </row>
    <row r="126" spans="1:9" x14ac:dyDescent="0.3">
      <c r="A126" t="s">
        <v>980</v>
      </c>
      <c r="B126" t="s">
        <v>981</v>
      </c>
      <c r="C126" t="s">
        <v>982</v>
      </c>
      <c r="D126" t="s">
        <v>974</v>
      </c>
      <c r="E126" t="s">
        <v>983</v>
      </c>
      <c r="F126" t="s">
        <v>984</v>
      </c>
      <c r="G126" t="s">
        <v>985</v>
      </c>
      <c r="H126" t="s">
        <v>986</v>
      </c>
      <c r="I126" t="s">
        <v>987</v>
      </c>
    </row>
    <row r="127" spans="1:9" x14ac:dyDescent="0.3">
      <c r="A127" t="s">
        <v>988</v>
      </c>
      <c r="B127" t="s">
        <v>989</v>
      </c>
      <c r="C127" t="s">
        <v>990</v>
      </c>
      <c r="D127" t="s">
        <v>69</v>
      </c>
      <c r="E127" t="s">
        <v>991</v>
      </c>
      <c r="F127" t="s">
        <v>992</v>
      </c>
      <c r="G127" t="s">
        <v>993</v>
      </c>
      <c r="H127" t="s">
        <v>994</v>
      </c>
      <c r="I127" t="s">
        <v>995</v>
      </c>
    </row>
    <row r="128" spans="1:9" x14ac:dyDescent="0.3">
      <c r="A128" t="s">
        <v>996</v>
      </c>
      <c r="B128" t="s">
        <v>996</v>
      </c>
      <c r="C128" t="s">
        <v>997</v>
      </c>
      <c r="D128" t="s">
        <v>272</v>
      </c>
      <c r="E128" t="s">
        <v>327</v>
      </c>
      <c r="F128" t="s">
        <v>173</v>
      </c>
      <c r="G128" t="s">
        <v>998</v>
      </c>
      <c r="H128" t="s">
        <v>999</v>
      </c>
      <c r="I128" t="s">
        <v>1000</v>
      </c>
    </row>
    <row r="129" spans="1:9" x14ac:dyDescent="0.3">
      <c r="A129" t="s">
        <v>1001</v>
      </c>
      <c r="B129" t="s">
        <v>1001</v>
      </c>
      <c r="C129" t="s">
        <v>1002</v>
      </c>
      <c r="D129" t="s">
        <v>702</v>
      </c>
      <c r="E129" t="s">
        <v>709</v>
      </c>
      <c r="F129" t="s">
        <v>1003</v>
      </c>
      <c r="G129" t="s">
        <v>1004</v>
      </c>
      <c r="H129" t="s">
        <v>1005</v>
      </c>
      <c r="I129" t="s">
        <v>651</v>
      </c>
    </row>
    <row r="130" spans="1:9" x14ac:dyDescent="0.3">
      <c r="A130" t="s">
        <v>1006</v>
      </c>
      <c r="B130" t="s">
        <v>1007</v>
      </c>
      <c r="C130" t="s">
        <v>1008</v>
      </c>
      <c r="D130" t="s">
        <v>190</v>
      </c>
      <c r="E130" t="s">
        <v>1009</v>
      </c>
      <c r="F130" t="s">
        <v>1010</v>
      </c>
      <c r="G130" t="s">
        <v>1011</v>
      </c>
      <c r="H130" t="s">
        <v>1012</v>
      </c>
      <c r="I130" t="s">
        <v>1013</v>
      </c>
    </row>
    <row r="131" spans="1:9" x14ac:dyDescent="0.3">
      <c r="A131" t="s">
        <v>1014</v>
      </c>
      <c r="B131" t="s">
        <v>1015</v>
      </c>
      <c r="C131" t="s">
        <v>1016</v>
      </c>
      <c r="D131" t="s">
        <v>877</v>
      </c>
      <c r="E131" t="s">
        <v>1017</v>
      </c>
      <c r="F131" t="s">
        <v>1018</v>
      </c>
      <c r="G131" t="s">
        <v>1019</v>
      </c>
      <c r="H131" t="s">
        <v>1020</v>
      </c>
      <c r="I131" t="s">
        <v>1021</v>
      </c>
    </row>
    <row r="132" spans="1:9" x14ac:dyDescent="0.3">
      <c r="A132" t="s">
        <v>1022</v>
      </c>
      <c r="B132" t="s">
        <v>1023</v>
      </c>
      <c r="C132" t="s">
        <v>1024</v>
      </c>
      <c r="D132" t="s">
        <v>442</v>
      </c>
      <c r="E132" t="s">
        <v>14</v>
      </c>
      <c r="F132" t="s">
        <v>1025</v>
      </c>
      <c r="G132" t="s">
        <v>1026</v>
      </c>
      <c r="H132" t="s">
        <v>1027</v>
      </c>
      <c r="I132" t="s">
        <v>1028</v>
      </c>
    </row>
    <row r="133" spans="1:9" x14ac:dyDescent="0.3">
      <c r="A133" t="s">
        <v>1029</v>
      </c>
      <c r="B133" t="s">
        <v>1030</v>
      </c>
      <c r="C133" t="s">
        <v>1031</v>
      </c>
      <c r="D133" t="s">
        <v>78</v>
      </c>
      <c r="E133" t="s">
        <v>1032</v>
      </c>
      <c r="F133" t="s">
        <v>1033</v>
      </c>
      <c r="G133" t="s">
        <v>1034</v>
      </c>
      <c r="H133" t="s">
        <v>1035</v>
      </c>
      <c r="I133" t="s">
        <v>1036</v>
      </c>
    </row>
    <row r="134" spans="1:9" x14ac:dyDescent="0.3">
      <c r="A134" t="s">
        <v>1037</v>
      </c>
      <c r="B134" t="s">
        <v>1038</v>
      </c>
      <c r="C134" t="s">
        <v>1039</v>
      </c>
      <c r="D134" t="s">
        <v>378</v>
      </c>
      <c r="E134" t="s">
        <v>1040</v>
      </c>
      <c r="F134" t="s">
        <v>1041</v>
      </c>
      <c r="G134" t="s">
        <v>1042</v>
      </c>
      <c r="H134" t="s">
        <v>1043</v>
      </c>
      <c r="I134" t="s">
        <v>1044</v>
      </c>
    </row>
    <row r="135" spans="1:9" x14ac:dyDescent="0.3">
      <c r="A135" t="s">
        <v>1045</v>
      </c>
      <c r="B135" t="s">
        <v>1046</v>
      </c>
      <c r="C135" t="s">
        <v>1047</v>
      </c>
      <c r="D135" t="s">
        <v>974</v>
      </c>
      <c r="E135" t="s">
        <v>1048</v>
      </c>
      <c r="F135" t="s">
        <v>578</v>
      </c>
      <c r="G135" t="s">
        <v>1049</v>
      </c>
      <c r="H135" t="s">
        <v>1050</v>
      </c>
      <c r="I135" t="s">
        <v>1051</v>
      </c>
    </row>
    <row r="136" spans="1:9" x14ac:dyDescent="0.3">
      <c r="A136" t="s">
        <v>1052</v>
      </c>
      <c r="B136" t="s">
        <v>1053</v>
      </c>
      <c r="C136" t="s">
        <v>1054</v>
      </c>
      <c r="D136" t="s">
        <v>647</v>
      </c>
      <c r="E136" t="s">
        <v>1055</v>
      </c>
      <c r="F136" t="s">
        <v>1056</v>
      </c>
      <c r="G136" t="s">
        <v>1057</v>
      </c>
      <c r="H136" t="s">
        <v>1058</v>
      </c>
      <c r="I136" t="s">
        <v>1059</v>
      </c>
    </row>
    <row r="137" spans="1:9" x14ac:dyDescent="0.3">
      <c r="A137" t="s">
        <v>1060</v>
      </c>
      <c r="B137" t="s">
        <v>1061</v>
      </c>
      <c r="C137" t="s">
        <v>1062</v>
      </c>
      <c r="D137" t="s">
        <v>1063</v>
      </c>
      <c r="E137" t="s">
        <v>1064</v>
      </c>
      <c r="F137" t="s">
        <v>1065</v>
      </c>
      <c r="G137" t="s">
        <v>1066</v>
      </c>
      <c r="H137" t="s">
        <v>1067</v>
      </c>
      <c r="I137" t="s">
        <v>1068</v>
      </c>
    </row>
    <row r="138" spans="1:9" x14ac:dyDescent="0.3">
      <c r="A138" t="s">
        <v>1069</v>
      </c>
      <c r="B138" t="s">
        <v>1070</v>
      </c>
      <c r="C138" t="s">
        <v>1071</v>
      </c>
      <c r="D138" t="s">
        <v>474</v>
      </c>
      <c r="E138" t="s">
        <v>1072</v>
      </c>
      <c r="F138" t="s">
        <v>1073</v>
      </c>
      <c r="G138" t="s">
        <v>1074</v>
      </c>
      <c r="H138" t="s">
        <v>1075</v>
      </c>
      <c r="I138" t="s">
        <v>1076</v>
      </c>
    </row>
    <row r="139" spans="1:9" x14ac:dyDescent="0.3">
      <c r="A139" t="s">
        <v>1077</v>
      </c>
      <c r="B139" t="s">
        <v>1078</v>
      </c>
      <c r="C139" t="s">
        <v>1079</v>
      </c>
      <c r="D139" t="s">
        <v>53</v>
      </c>
      <c r="E139" t="s">
        <v>732</v>
      </c>
      <c r="F139" t="s">
        <v>1080</v>
      </c>
      <c r="G139" t="s">
        <v>1081</v>
      </c>
      <c r="H139" t="s">
        <v>1082</v>
      </c>
      <c r="I139" t="s">
        <v>1083</v>
      </c>
    </row>
    <row r="140" spans="1:9" x14ac:dyDescent="0.3">
      <c r="A140" t="s">
        <v>1084</v>
      </c>
      <c r="B140" t="s">
        <v>1085</v>
      </c>
      <c r="C140" t="s">
        <v>1086</v>
      </c>
      <c r="D140" t="s">
        <v>328</v>
      </c>
      <c r="E140" t="s">
        <v>1087</v>
      </c>
      <c r="F140" t="s">
        <v>587</v>
      </c>
      <c r="G140" t="s">
        <v>1088</v>
      </c>
      <c r="H140" t="s">
        <v>1089</v>
      </c>
      <c r="I140" t="s">
        <v>1090</v>
      </c>
    </row>
    <row r="141" spans="1:9" x14ac:dyDescent="0.3">
      <c r="A141" t="s">
        <v>1091</v>
      </c>
      <c r="B141" t="s">
        <v>1092</v>
      </c>
      <c r="C141" t="s">
        <v>1093</v>
      </c>
      <c r="D141" t="s">
        <v>449</v>
      </c>
      <c r="E141" t="s">
        <v>677</v>
      </c>
      <c r="F141" t="s">
        <v>1094</v>
      </c>
      <c r="G141" t="s">
        <v>1095</v>
      </c>
      <c r="H141" t="s">
        <v>1096</v>
      </c>
      <c r="I141" t="s">
        <v>1097</v>
      </c>
    </row>
    <row r="142" spans="1:9" x14ac:dyDescent="0.3">
      <c r="A142" t="s">
        <v>1098</v>
      </c>
      <c r="B142" t="s">
        <v>1099</v>
      </c>
      <c r="C142" t="s">
        <v>1100</v>
      </c>
      <c r="D142" t="s">
        <v>1101</v>
      </c>
      <c r="E142" t="s">
        <v>540</v>
      </c>
      <c r="F142" t="s">
        <v>248</v>
      </c>
      <c r="G142" t="s">
        <v>1102</v>
      </c>
      <c r="H142" t="s">
        <v>1103</v>
      </c>
      <c r="I142" t="s">
        <v>1104</v>
      </c>
    </row>
    <row r="143" spans="1:9" x14ac:dyDescent="0.3">
      <c r="A143" t="s">
        <v>1105</v>
      </c>
      <c r="B143" t="s">
        <v>1106</v>
      </c>
      <c r="C143" t="s">
        <v>1107</v>
      </c>
      <c r="D143" t="s">
        <v>112</v>
      </c>
      <c r="E143" t="s">
        <v>1108</v>
      </c>
      <c r="F143" t="s">
        <v>1109</v>
      </c>
      <c r="G143" t="s">
        <v>1110</v>
      </c>
      <c r="H143" t="s">
        <v>1111</v>
      </c>
      <c r="I143" t="s">
        <v>1112</v>
      </c>
    </row>
    <row r="144" spans="1:9" x14ac:dyDescent="0.3">
      <c r="A144" t="s">
        <v>1113</v>
      </c>
      <c r="B144" t="s">
        <v>1114</v>
      </c>
      <c r="C144" t="s">
        <v>1115</v>
      </c>
      <c r="D144" t="s">
        <v>199</v>
      </c>
      <c r="E144" t="s">
        <v>199</v>
      </c>
      <c r="F144" t="s">
        <v>908</v>
      </c>
      <c r="G144" t="s">
        <v>1116</v>
      </c>
      <c r="H144" t="s">
        <v>1117</v>
      </c>
      <c r="I144" t="s">
        <v>1118</v>
      </c>
    </row>
    <row r="145" spans="1:9" x14ac:dyDescent="0.3">
      <c r="A145" t="s">
        <v>1119</v>
      </c>
      <c r="B145" t="s">
        <v>1120</v>
      </c>
      <c r="C145" t="s">
        <v>1121</v>
      </c>
      <c r="D145" t="s">
        <v>62</v>
      </c>
      <c r="E145" t="s">
        <v>1122</v>
      </c>
      <c r="F145" t="s">
        <v>1123</v>
      </c>
      <c r="G145" t="s">
        <v>1124</v>
      </c>
      <c r="I145" t="s">
        <v>1125</v>
      </c>
    </row>
    <row r="146" spans="1:9" x14ac:dyDescent="0.3">
      <c r="A146" t="s">
        <v>1126</v>
      </c>
      <c r="B146" t="s">
        <v>1127</v>
      </c>
      <c r="C146" t="s">
        <v>1128</v>
      </c>
      <c r="D146" t="s">
        <v>62</v>
      </c>
      <c r="E146" t="s">
        <v>1129</v>
      </c>
      <c r="F146" t="s">
        <v>1130</v>
      </c>
      <c r="G146" t="s">
        <v>1131</v>
      </c>
      <c r="H146" t="s">
        <v>1132</v>
      </c>
      <c r="I146" t="s">
        <v>1133</v>
      </c>
    </row>
    <row r="147" spans="1:9" x14ac:dyDescent="0.3">
      <c r="A147" t="s">
        <v>1134</v>
      </c>
      <c r="B147" t="s">
        <v>1135</v>
      </c>
      <c r="C147" t="s">
        <v>1136</v>
      </c>
      <c r="D147" t="s">
        <v>21</v>
      </c>
      <c r="E147" t="s">
        <v>1137</v>
      </c>
      <c r="F147" t="s">
        <v>492</v>
      </c>
      <c r="G147" t="s">
        <v>1138</v>
      </c>
      <c r="H147" t="s">
        <v>1139</v>
      </c>
      <c r="I147" t="s">
        <v>1140</v>
      </c>
    </row>
    <row r="148" spans="1:9" x14ac:dyDescent="0.3">
      <c r="A148" t="s">
        <v>1141</v>
      </c>
      <c r="B148" t="s">
        <v>1142</v>
      </c>
      <c r="C148" t="s">
        <v>1143</v>
      </c>
      <c r="D148" t="s">
        <v>62</v>
      </c>
      <c r="E148" t="s">
        <v>524</v>
      </c>
      <c r="F148" t="s">
        <v>1144</v>
      </c>
      <c r="G148" t="s">
        <v>1145</v>
      </c>
      <c r="H148" t="s">
        <v>1146</v>
      </c>
      <c r="I148" t="s">
        <v>1147</v>
      </c>
    </row>
    <row r="149" spans="1:9" x14ac:dyDescent="0.3">
      <c r="A149" t="s">
        <v>1148</v>
      </c>
      <c r="B149" t="s">
        <v>1149</v>
      </c>
      <c r="C149" t="s">
        <v>1150</v>
      </c>
      <c r="D149" t="s">
        <v>207</v>
      </c>
      <c r="E149" t="s">
        <v>1151</v>
      </c>
      <c r="F149" t="s">
        <v>1152</v>
      </c>
      <c r="G149" t="s">
        <v>1153</v>
      </c>
      <c r="H149" t="s">
        <v>1154</v>
      </c>
      <c r="I149" t="s">
        <v>1155</v>
      </c>
    </row>
    <row r="150" spans="1:9" x14ac:dyDescent="0.3">
      <c r="A150" t="s">
        <v>1156</v>
      </c>
      <c r="B150" t="s">
        <v>1157</v>
      </c>
      <c r="C150" t="s">
        <v>1158</v>
      </c>
      <c r="D150" t="s">
        <v>1159</v>
      </c>
      <c r="E150" t="s">
        <v>55</v>
      </c>
      <c r="F150" t="s">
        <v>1160</v>
      </c>
      <c r="G150" t="s">
        <v>1161</v>
      </c>
      <c r="H150" t="s">
        <v>1162</v>
      </c>
      <c r="I150" t="s">
        <v>1163</v>
      </c>
    </row>
    <row r="151" spans="1:9" x14ac:dyDescent="0.3">
      <c r="A151" t="s">
        <v>1164</v>
      </c>
      <c r="B151" t="s">
        <v>1165</v>
      </c>
      <c r="C151" t="s">
        <v>1166</v>
      </c>
      <c r="D151" t="s">
        <v>62</v>
      </c>
      <c r="E151" t="s">
        <v>648</v>
      </c>
      <c r="F151" t="s">
        <v>701</v>
      </c>
      <c r="G151" t="s">
        <v>1167</v>
      </c>
      <c r="I151" t="s">
        <v>1168</v>
      </c>
    </row>
    <row r="152" spans="1:9" x14ac:dyDescent="0.3">
      <c r="A152" t="s">
        <v>1169</v>
      </c>
      <c r="B152" t="s">
        <v>1170</v>
      </c>
      <c r="C152" t="s">
        <v>1171</v>
      </c>
      <c r="D152" t="s">
        <v>207</v>
      </c>
      <c r="E152" t="s">
        <v>1172</v>
      </c>
      <c r="F152" t="s">
        <v>1173</v>
      </c>
      <c r="G152" t="s">
        <v>1174</v>
      </c>
      <c r="H152" t="s">
        <v>1175</v>
      </c>
      <c r="I152" t="s">
        <v>1176</v>
      </c>
    </row>
    <row r="153" spans="1:9" x14ac:dyDescent="0.3">
      <c r="A153" t="s">
        <v>1177</v>
      </c>
      <c r="B153" t="s">
        <v>1178</v>
      </c>
      <c r="C153" t="s">
        <v>1179</v>
      </c>
      <c r="D153" t="s">
        <v>1180</v>
      </c>
      <c r="E153" t="s">
        <v>1181</v>
      </c>
      <c r="F153" t="s">
        <v>1182</v>
      </c>
      <c r="G153" t="s">
        <v>1183</v>
      </c>
      <c r="H153" t="s">
        <v>1184</v>
      </c>
      <c r="I153" t="s">
        <v>745</v>
      </c>
    </row>
    <row r="154" spans="1:9" x14ac:dyDescent="0.3">
      <c r="A154" t="s">
        <v>1185</v>
      </c>
      <c r="B154" t="s">
        <v>1186</v>
      </c>
      <c r="C154" t="s">
        <v>1187</v>
      </c>
      <c r="D154" t="s">
        <v>45</v>
      </c>
      <c r="E154" t="s">
        <v>1188</v>
      </c>
      <c r="F154" t="s">
        <v>1189</v>
      </c>
      <c r="G154" t="s">
        <v>1190</v>
      </c>
      <c r="H154" t="s">
        <v>1191</v>
      </c>
      <c r="I154" t="s">
        <v>1192</v>
      </c>
    </row>
    <row r="155" spans="1:9" x14ac:dyDescent="0.3">
      <c r="A155" t="s">
        <v>1193</v>
      </c>
      <c r="B155" t="s">
        <v>1194</v>
      </c>
      <c r="C155" t="s">
        <v>1195</v>
      </c>
      <c r="D155" t="s">
        <v>1196</v>
      </c>
      <c r="E155" t="s">
        <v>1197</v>
      </c>
      <c r="F155" t="s">
        <v>749</v>
      </c>
      <c r="G155" t="s">
        <v>1198</v>
      </c>
      <c r="H155" t="s">
        <v>1199</v>
      </c>
      <c r="I155" t="s">
        <v>1200</v>
      </c>
    </row>
    <row r="156" spans="1:9" x14ac:dyDescent="0.3">
      <c r="A156" t="s">
        <v>1201</v>
      </c>
      <c r="B156" t="s">
        <v>1202</v>
      </c>
      <c r="C156" t="s">
        <v>1203</v>
      </c>
      <c r="D156" t="s">
        <v>61</v>
      </c>
      <c r="E156" t="s">
        <v>1204</v>
      </c>
      <c r="F156" t="s">
        <v>1205</v>
      </c>
      <c r="G156" t="s">
        <v>1206</v>
      </c>
      <c r="H156" t="s">
        <v>1207</v>
      </c>
      <c r="I156" t="s">
        <v>1208</v>
      </c>
    </row>
    <row r="157" spans="1:9" x14ac:dyDescent="0.3">
      <c r="A157" t="s">
        <v>1209</v>
      </c>
      <c r="B157" t="s">
        <v>1210</v>
      </c>
      <c r="C157" t="s">
        <v>1211</v>
      </c>
      <c r="D157" t="s">
        <v>476</v>
      </c>
      <c r="E157" t="s">
        <v>1212</v>
      </c>
      <c r="F157" t="s">
        <v>1213</v>
      </c>
      <c r="G157" t="s">
        <v>1214</v>
      </c>
      <c r="H157" t="s">
        <v>1215</v>
      </c>
      <c r="I157" t="s">
        <v>1216</v>
      </c>
    </row>
    <row r="158" spans="1:9" x14ac:dyDescent="0.3">
      <c r="A158" t="s">
        <v>1217</v>
      </c>
      <c r="B158" t="s">
        <v>1218</v>
      </c>
      <c r="C158" t="s">
        <v>1219</v>
      </c>
      <c r="D158" t="s">
        <v>147</v>
      </c>
      <c r="E158" t="s">
        <v>114</v>
      </c>
      <c r="F158" t="s">
        <v>1094</v>
      </c>
      <c r="G158" t="s">
        <v>1220</v>
      </c>
      <c r="H158" t="s">
        <v>1221</v>
      </c>
      <c r="I158" t="s">
        <v>1222</v>
      </c>
    </row>
    <row r="159" spans="1:9" x14ac:dyDescent="0.3">
      <c r="A159" t="s">
        <v>1223</v>
      </c>
      <c r="B159" t="s">
        <v>1224</v>
      </c>
      <c r="C159" t="s">
        <v>1225</v>
      </c>
      <c r="D159" t="s">
        <v>95</v>
      </c>
      <c r="E159" t="s">
        <v>1226</v>
      </c>
      <c r="F159" t="s">
        <v>113</v>
      </c>
      <c r="G159" t="s">
        <v>1227</v>
      </c>
      <c r="H159" t="s">
        <v>1228</v>
      </c>
      <c r="I159" t="s">
        <v>1229</v>
      </c>
    </row>
    <row r="160" spans="1:9" x14ac:dyDescent="0.3">
      <c r="A160" t="s">
        <v>1230</v>
      </c>
      <c r="B160" t="s">
        <v>1231</v>
      </c>
      <c r="C160" t="s">
        <v>1232</v>
      </c>
      <c r="D160" t="s">
        <v>327</v>
      </c>
      <c r="E160" t="s">
        <v>1233</v>
      </c>
      <c r="F160" t="s">
        <v>508</v>
      </c>
      <c r="G160" t="s">
        <v>1234</v>
      </c>
      <c r="H160" t="s">
        <v>1235</v>
      </c>
      <c r="I160" t="s">
        <v>1236</v>
      </c>
    </row>
    <row r="161" spans="1:9" x14ac:dyDescent="0.3">
      <c r="A161" t="s">
        <v>1237</v>
      </c>
      <c r="B161" t="s">
        <v>1238</v>
      </c>
      <c r="C161" t="s">
        <v>1239</v>
      </c>
      <c r="D161" t="s">
        <v>181</v>
      </c>
      <c r="E161" t="s">
        <v>1240</v>
      </c>
      <c r="F161" t="s">
        <v>1241</v>
      </c>
      <c r="G161" t="s">
        <v>1242</v>
      </c>
      <c r="H161" t="s">
        <v>1243</v>
      </c>
      <c r="I161" t="s">
        <v>1244</v>
      </c>
    </row>
    <row r="162" spans="1:9" x14ac:dyDescent="0.3">
      <c r="A162" t="s">
        <v>1245</v>
      </c>
      <c r="B162" t="s">
        <v>1246</v>
      </c>
      <c r="C162" t="s">
        <v>1247</v>
      </c>
      <c r="D162" t="s">
        <v>587</v>
      </c>
      <c r="E162" t="s">
        <v>1248</v>
      </c>
      <c r="F162" t="s">
        <v>1249</v>
      </c>
      <c r="G162" t="s">
        <v>1250</v>
      </c>
      <c r="H162" t="s">
        <v>1251</v>
      </c>
      <c r="I162" t="s">
        <v>1252</v>
      </c>
    </row>
    <row r="163" spans="1:9" x14ac:dyDescent="0.3">
      <c r="A163" t="s">
        <v>1253</v>
      </c>
      <c r="B163" t="s">
        <v>1254</v>
      </c>
      <c r="C163" t="s">
        <v>1255</v>
      </c>
      <c r="D163" t="s">
        <v>62</v>
      </c>
      <c r="E163" t="s">
        <v>62</v>
      </c>
      <c r="F163" t="s">
        <v>62</v>
      </c>
      <c r="G163" t="s">
        <v>1256</v>
      </c>
      <c r="I163" t="s">
        <v>1257</v>
      </c>
    </row>
    <row r="164" spans="1:9" x14ac:dyDescent="0.3">
      <c r="A164" t="s">
        <v>1258</v>
      </c>
      <c r="B164" t="s">
        <v>1258</v>
      </c>
      <c r="C164" t="s">
        <v>1259</v>
      </c>
      <c r="D164" t="s">
        <v>540</v>
      </c>
      <c r="E164" t="s">
        <v>1260</v>
      </c>
      <c r="F164" t="s">
        <v>992</v>
      </c>
      <c r="G164" t="s">
        <v>1261</v>
      </c>
      <c r="H164" t="s">
        <v>1262</v>
      </c>
      <c r="I164" t="s">
        <v>651</v>
      </c>
    </row>
    <row r="165" spans="1:9" x14ac:dyDescent="0.3">
      <c r="A165" t="s">
        <v>1263</v>
      </c>
      <c r="B165" t="s">
        <v>1264</v>
      </c>
      <c r="C165" t="s">
        <v>1265</v>
      </c>
      <c r="D165" t="s">
        <v>279</v>
      </c>
      <c r="E165" t="s">
        <v>207</v>
      </c>
      <c r="F165" t="s">
        <v>449</v>
      </c>
      <c r="G165" t="s">
        <v>1266</v>
      </c>
      <c r="H165" t="s">
        <v>1267</v>
      </c>
      <c r="I165" t="s">
        <v>1268</v>
      </c>
    </row>
    <row r="166" spans="1:9" x14ac:dyDescent="0.3">
      <c r="A166" t="s">
        <v>1269</v>
      </c>
      <c r="B166" t="s">
        <v>1270</v>
      </c>
      <c r="C166" t="s">
        <v>1271</v>
      </c>
      <c r="D166" t="s">
        <v>255</v>
      </c>
      <c r="E166" t="s">
        <v>1272</v>
      </c>
      <c r="F166" t="s">
        <v>1273</v>
      </c>
      <c r="G166" t="s">
        <v>1274</v>
      </c>
      <c r="H166" t="s">
        <v>1275</v>
      </c>
      <c r="I166" t="s">
        <v>1276</v>
      </c>
    </row>
    <row r="167" spans="1:9" x14ac:dyDescent="0.3">
      <c r="A167" t="s">
        <v>1277</v>
      </c>
      <c r="B167" t="s">
        <v>1278</v>
      </c>
      <c r="C167" t="s">
        <v>1279</v>
      </c>
      <c r="D167" t="s">
        <v>190</v>
      </c>
      <c r="E167" t="s">
        <v>1280</v>
      </c>
      <c r="F167" t="s">
        <v>1281</v>
      </c>
      <c r="G167" t="s">
        <v>1282</v>
      </c>
      <c r="H167" t="s">
        <v>1283</v>
      </c>
      <c r="I167" t="s">
        <v>1284</v>
      </c>
    </row>
    <row r="168" spans="1:9" x14ac:dyDescent="0.3">
      <c r="A168" t="s">
        <v>1285</v>
      </c>
      <c r="B168" t="s">
        <v>1285</v>
      </c>
      <c r="C168" t="s">
        <v>1286</v>
      </c>
      <c r="D168" t="s">
        <v>12</v>
      </c>
      <c r="E168" t="s">
        <v>386</v>
      </c>
      <c r="F168" t="s">
        <v>1287</v>
      </c>
      <c r="G168" t="s">
        <v>1288</v>
      </c>
      <c r="H168" t="s">
        <v>1289</v>
      </c>
      <c r="I168" t="s">
        <v>1290</v>
      </c>
    </row>
    <row r="169" spans="1:9" x14ac:dyDescent="0.3">
      <c r="A169" t="s">
        <v>1291</v>
      </c>
      <c r="B169" t="s">
        <v>1292</v>
      </c>
      <c r="C169" t="s">
        <v>1293</v>
      </c>
      <c r="D169" t="s">
        <v>112</v>
      </c>
      <c r="E169" t="s">
        <v>1294</v>
      </c>
      <c r="F169" t="s">
        <v>1295</v>
      </c>
      <c r="G169" t="s">
        <v>1296</v>
      </c>
      <c r="H169" t="s">
        <v>1297</v>
      </c>
      <c r="I169" t="s">
        <v>1298</v>
      </c>
    </row>
    <row r="170" spans="1:9" x14ac:dyDescent="0.3">
      <c r="A170" t="s">
        <v>1299</v>
      </c>
      <c r="B170" t="s">
        <v>1300</v>
      </c>
      <c r="C170" t="s">
        <v>1301</v>
      </c>
      <c r="D170" t="s">
        <v>483</v>
      </c>
      <c r="E170" t="s">
        <v>147</v>
      </c>
      <c r="F170" t="s">
        <v>564</v>
      </c>
      <c r="G170" t="s">
        <v>1302</v>
      </c>
      <c r="H170" t="s">
        <v>1303</v>
      </c>
      <c r="I170" t="s">
        <v>1304</v>
      </c>
    </row>
    <row r="171" spans="1:9" x14ac:dyDescent="0.3">
      <c r="A171" t="s">
        <v>1305</v>
      </c>
      <c r="B171" t="s">
        <v>1306</v>
      </c>
      <c r="C171" t="s">
        <v>1307</v>
      </c>
      <c r="D171" t="s">
        <v>138</v>
      </c>
      <c r="E171" t="s">
        <v>1308</v>
      </c>
      <c r="F171" t="s">
        <v>55</v>
      </c>
      <c r="G171" t="s">
        <v>1309</v>
      </c>
      <c r="H171" t="s">
        <v>1310</v>
      </c>
      <c r="I171" t="s">
        <v>1311</v>
      </c>
    </row>
    <row r="172" spans="1:9" x14ac:dyDescent="0.3">
      <c r="A172" t="s">
        <v>1312</v>
      </c>
      <c r="B172" t="s">
        <v>1313</v>
      </c>
      <c r="C172" t="s">
        <v>1314</v>
      </c>
      <c r="D172" t="s">
        <v>724</v>
      </c>
      <c r="E172" t="s">
        <v>1315</v>
      </c>
      <c r="F172" t="s">
        <v>1316</v>
      </c>
      <c r="G172" t="s">
        <v>1317</v>
      </c>
      <c r="H172" t="s">
        <v>1318</v>
      </c>
      <c r="I172" t="s">
        <v>1319</v>
      </c>
    </row>
    <row r="173" spans="1:9" x14ac:dyDescent="0.3">
      <c r="A173" t="s">
        <v>1320</v>
      </c>
      <c r="B173" t="s">
        <v>1321</v>
      </c>
      <c r="C173" t="s">
        <v>1322</v>
      </c>
      <c r="D173" t="s">
        <v>974</v>
      </c>
      <c r="E173" t="s">
        <v>1323</v>
      </c>
      <c r="F173" t="s">
        <v>917</v>
      </c>
      <c r="G173" t="s">
        <v>1324</v>
      </c>
      <c r="H173" t="s">
        <v>1325</v>
      </c>
      <c r="I173" t="s">
        <v>1326</v>
      </c>
    </row>
    <row r="174" spans="1:9" x14ac:dyDescent="0.3">
      <c r="A174" t="s">
        <v>1327</v>
      </c>
      <c r="B174" t="s">
        <v>1328</v>
      </c>
      <c r="C174" t="s">
        <v>1329</v>
      </c>
      <c r="D174" t="s">
        <v>474</v>
      </c>
      <c r="E174" t="s">
        <v>961</v>
      </c>
      <c r="F174" t="s">
        <v>1330</v>
      </c>
      <c r="G174" t="s">
        <v>1331</v>
      </c>
      <c r="H174" t="s">
        <v>1332</v>
      </c>
      <c r="I174" t="s">
        <v>1333</v>
      </c>
    </row>
    <row r="175" spans="1:9" x14ac:dyDescent="0.3">
      <c r="A175" t="s">
        <v>1334</v>
      </c>
      <c r="B175" t="s">
        <v>1334</v>
      </c>
      <c r="C175" t="s">
        <v>1335</v>
      </c>
      <c r="D175" t="s">
        <v>328</v>
      </c>
      <c r="E175" t="s">
        <v>1336</v>
      </c>
      <c r="F175" t="s">
        <v>1337</v>
      </c>
      <c r="G175" t="s">
        <v>1338</v>
      </c>
      <c r="H175" t="s">
        <v>1339</v>
      </c>
      <c r="I175" t="s">
        <v>651</v>
      </c>
    </row>
    <row r="176" spans="1:9" x14ac:dyDescent="0.3">
      <c r="A176" t="s">
        <v>1340</v>
      </c>
      <c r="B176" t="s">
        <v>1340</v>
      </c>
      <c r="C176" t="s">
        <v>1341</v>
      </c>
      <c r="D176" t="s">
        <v>95</v>
      </c>
      <c r="E176" t="s">
        <v>1342</v>
      </c>
      <c r="F176" t="s">
        <v>45</v>
      </c>
      <c r="G176" t="s">
        <v>1343</v>
      </c>
      <c r="H176" t="s">
        <v>1344</v>
      </c>
      <c r="I176" t="s">
        <v>1345</v>
      </c>
    </row>
    <row r="177" spans="1:9" x14ac:dyDescent="0.3">
      <c r="A177" t="s">
        <v>1346</v>
      </c>
      <c r="B177" t="s">
        <v>1347</v>
      </c>
      <c r="C177" t="s">
        <v>1348</v>
      </c>
      <c r="D177" t="s">
        <v>39</v>
      </c>
      <c r="E177" t="s">
        <v>1349</v>
      </c>
      <c r="F177" t="s">
        <v>265</v>
      </c>
      <c r="G177" t="s">
        <v>1350</v>
      </c>
      <c r="H177" t="s">
        <v>1351</v>
      </c>
      <c r="I177" t="s">
        <v>1352</v>
      </c>
    </row>
    <row r="178" spans="1:9" x14ac:dyDescent="0.3">
      <c r="A178" t="s">
        <v>1353</v>
      </c>
      <c r="B178" t="s">
        <v>1354</v>
      </c>
      <c r="C178" t="s">
        <v>1355</v>
      </c>
      <c r="D178" t="s">
        <v>12</v>
      </c>
      <c r="E178" t="s">
        <v>1356</v>
      </c>
      <c r="F178" t="s">
        <v>1357</v>
      </c>
      <c r="G178" t="s">
        <v>1358</v>
      </c>
      <c r="H178" t="s">
        <v>1359</v>
      </c>
      <c r="I178" t="s">
        <v>1360</v>
      </c>
    </row>
    <row r="179" spans="1:9" x14ac:dyDescent="0.3">
      <c r="A179" t="s">
        <v>1361</v>
      </c>
      <c r="B179" t="s">
        <v>1362</v>
      </c>
      <c r="C179" t="s">
        <v>1363</v>
      </c>
      <c r="D179" t="s">
        <v>173</v>
      </c>
      <c r="E179" t="s">
        <v>182</v>
      </c>
      <c r="F179" t="s">
        <v>1364</v>
      </c>
      <c r="G179" t="s">
        <v>1365</v>
      </c>
      <c r="H179" t="s">
        <v>1366</v>
      </c>
      <c r="I179" t="s">
        <v>1367</v>
      </c>
    </row>
    <row r="180" spans="1:9" x14ac:dyDescent="0.3">
      <c r="A180" t="s">
        <v>1368</v>
      </c>
      <c r="B180" t="s">
        <v>1368</v>
      </c>
      <c r="C180" t="s">
        <v>1369</v>
      </c>
      <c r="D180" t="s">
        <v>165</v>
      </c>
      <c r="E180" t="s">
        <v>1370</v>
      </c>
      <c r="F180" t="s">
        <v>1371</v>
      </c>
      <c r="G180" t="s">
        <v>1372</v>
      </c>
      <c r="H180" t="s">
        <v>1373</v>
      </c>
      <c r="I180" t="s">
        <v>1374</v>
      </c>
    </row>
    <row r="181" spans="1:9" x14ac:dyDescent="0.3">
      <c r="A181" t="s">
        <v>1375</v>
      </c>
      <c r="B181" t="s">
        <v>1376</v>
      </c>
      <c r="C181" t="s">
        <v>1377</v>
      </c>
      <c r="D181" t="s">
        <v>279</v>
      </c>
      <c r="E181" t="s">
        <v>633</v>
      </c>
      <c r="F181" t="s">
        <v>1378</v>
      </c>
      <c r="G181" t="s">
        <v>1379</v>
      </c>
      <c r="H181" t="s">
        <v>1380</v>
      </c>
      <c r="I181" t="s">
        <v>1381</v>
      </c>
    </row>
    <row r="182" spans="1:9" x14ac:dyDescent="0.3">
      <c r="A182" t="s">
        <v>1382</v>
      </c>
      <c r="B182" t="s">
        <v>1383</v>
      </c>
      <c r="C182" t="s">
        <v>1384</v>
      </c>
      <c r="D182" t="s">
        <v>53</v>
      </c>
      <c r="E182" t="s">
        <v>1385</v>
      </c>
      <c r="F182" t="s">
        <v>1385</v>
      </c>
      <c r="G182" t="s">
        <v>1386</v>
      </c>
      <c r="H182" t="s">
        <v>1387</v>
      </c>
      <c r="I182" t="s">
        <v>1388</v>
      </c>
    </row>
    <row r="183" spans="1:9" x14ac:dyDescent="0.3">
      <c r="A183" t="s">
        <v>1389</v>
      </c>
      <c r="B183" t="s">
        <v>1390</v>
      </c>
      <c r="C183" t="s">
        <v>1391</v>
      </c>
      <c r="D183" t="s">
        <v>207</v>
      </c>
      <c r="E183" t="s">
        <v>1392</v>
      </c>
      <c r="F183" t="s">
        <v>1393</v>
      </c>
      <c r="G183" t="s">
        <v>1394</v>
      </c>
      <c r="H183" t="s">
        <v>1395</v>
      </c>
      <c r="I183" t="s">
        <v>1396</v>
      </c>
    </row>
    <row r="184" spans="1:9" x14ac:dyDescent="0.3">
      <c r="A184" t="s">
        <v>1397</v>
      </c>
      <c r="B184" t="s">
        <v>1397</v>
      </c>
      <c r="C184" t="s">
        <v>1398</v>
      </c>
      <c r="D184" t="s">
        <v>608</v>
      </c>
      <c r="E184" t="s">
        <v>1399</v>
      </c>
      <c r="F184" t="s">
        <v>1400</v>
      </c>
      <c r="G184" t="s">
        <v>1401</v>
      </c>
      <c r="H184" t="s">
        <v>1402</v>
      </c>
      <c r="I184" t="s">
        <v>1403</v>
      </c>
    </row>
    <row r="185" spans="1:9" x14ac:dyDescent="0.3">
      <c r="A185" t="s">
        <v>1404</v>
      </c>
      <c r="B185" t="s">
        <v>1405</v>
      </c>
      <c r="C185" t="s">
        <v>1406</v>
      </c>
      <c r="D185" t="s">
        <v>288</v>
      </c>
      <c r="E185" t="s">
        <v>1407</v>
      </c>
      <c r="F185" t="s">
        <v>1408</v>
      </c>
      <c r="G185" t="s">
        <v>1409</v>
      </c>
      <c r="H185" t="s">
        <v>1410</v>
      </c>
      <c r="I185" t="s">
        <v>1411</v>
      </c>
    </row>
    <row r="186" spans="1:9" x14ac:dyDescent="0.3">
      <c r="A186" t="s">
        <v>1412</v>
      </c>
      <c r="B186" t="s">
        <v>1413</v>
      </c>
      <c r="C186" t="s">
        <v>1414</v>
      </c>
      <c r="D186" t="s">
        <v>12</v>
      </c>
      <c r="E186" t="s">
        <v>449</v>
      </c>
      <c r="F186" t="s">
        <v>279</v>
      </c>
      <c r="G186" t="s">
        <v>1415</v>
      </c>
      <c r="H186" t="s">
        <v>1416</v>
      </c>
      <c r="I186" t="s">
        <v>1417</v>
      </c>
    </row>
    <row r="187" spans="1:9" x14ac:dyDescent="0.3">
      <c r="A187" t="s">
        <v>1418</v>
      </c>
      <c r="B187" t="s">
        <v>1418</v>
      </c>
      <c r="C187" t="s">
        <v>1419</v>
      </c>
      <c r="D187" t="s">
        <v>156</v>
      </c>
      <c r="E187" t="s">
        <v>1420</v>
      </c>
      <c r="F187" t="s">
        <v>426</v>
      </c>
      <c r="G187" t="s">
        <v>1421</v>
      </c>
      <c r="H187" t="s">
        <v>1422</v>
      </c>
      <c r="I187" t="s">
        <v>1423</v>
      </c>
    </row>
    <row r="188" spans="1:9" x14ac:dyDescent="0.3">
      <c r="A188" t="s">
        <v>1424</v>
      </c>
      <c r="B188" t="s">
        <v>1425</v>
      </c>
      <c r="C188" t="s">
        <v>1426</v>
      </c>
      <c r="D188" t="s">
        <v>764</v>
      </c>
      <c r="E188" t="s">
        <v>474</v>
      </c>
      <c r="F188" t="s">
        <v>516</v>
      </c>
      <c r="G188" t="s">
        <v>1427</v>
      </c>
      <c r="H188" t="s">
        <v>1428</v>
      </c>
      <c r="I188" t="s">
        <v>1429</v>
      </c>
    </row>
    <row r="189" spans="1:9" x14ac:dyDescent="0.3">
      <c r="A189" t="s">
        <v>1430</v>
      </c>
      <c r="B189" t="s">
        <v>1431</v>
      </c>
      <c r="C189" t="s">
        <v>1432</v>
      </c>
      <c r="D189" t="s">
        <v>39</v>
      </c>
      <c r="E189" t="s">
        <v>960</v>
      </c>
      <c r="F189" t="s">
        <v>1433</v>
      </c>
      <c r="G189" t="s">
        <v>1434</v>
      </c>
      <c r="H189" t="s">
        <v>1435</v>
      </c>
      <c r="I189" t="s">
        <v>1436</v>
      </c>
    </row>
    <row r="190" spans="1:9" x14ac:dyDescent="0.3">
      <c r="A190" t="s">
        <v>1437</v>
      </c>
      <c r="B190" t="s">
        <v>1438</v>
      </c>
      <c r="C190" t="s">
        <v>1439</v>
      </c>
      <c r="D190" t="s">
        <v>475</v>
      </c>
      <c r="E190" t="s">
        <v>862</v>
      </c>
      <c r="F190" t="s">
        <v>1440</v>
      </c>
      <c r="G190" t="s">
        <v>1441</v>
      </c>
      <c r="H190" t="s">
        <v>1442</v>
      </c>
      <c r="I190" t="s">
        <v>1443</v>
      </c>
    </row>
    <row r="191" spans="1:9" x14ac:dyDescent="0.3">
      <c r="A191" t="s">
        <v>1444</v>
      </c>
      <c r="B191" t="s">
        <v>1445</v>
      </c>
      <c r="C191" t="s">
        <v>1446</v>
      </c>
      <c r="D191" t="s">
        <v>1447</v>
      </c>
      <c r="E191" t="s">
        <v>1448</v>
      </c>
      <c r="F191" t="s">
        <v>1449</v>
      </c>
      <c r="G191" t="s">
        <v>1450</v>
      </c>
      <c r="H191" t="s">
        <v>1451</v>
      </c>
      <c r="I191" t="s">
        <v>1452</v>
      </c>
    </row>
    <row r="192" spans="1:9" x14ac:dyDescent="0.3">
      <c r="A192" t="s">
        <v>1453</v>
      </c>
      <c r="B192" t="s">
        <v>1454</v>
      </c>
      <c r="C192" t="s">
        <v>1455</v>
      </c>
      <c r="D192" t="s">
        <v>62</v>
      </c>
      <c r="E192" t="s">
        <v>62</v>
      </c>
      <c r="F192" t="s">
        <v>62</v>
      </c>
      <c r="G192" t="s">
        <v>1456</v>
      </c>
      <c r="I192" t="s">
        <v>1457</v>
      </c>
    </row>
    <row r="193" spans="1:9" x14ac:dyDescent="0.3">
      <c r="A193" t="s">
        <v>1458</v>
      </c>
      <c r="B193" t="s">
        <v>1459</v>
      </c>
      <c r="C193" t="s">
        <v>1460</v>
      </c>
      <c r="D193" t="s">
        <v>1461</v>
      </c>
      <c r="E193" t="s">
        <v>1462</v>
      </c>
      <c r="F193" t="s">
        <v>1087</v>
      </c>
      <c r="G193" t="s">
        <v>1463</v>
      </c>
      <c r="H193" t="s">
        <v>1464</v>
      </c>
      <c r="I193" t="s">
        <v>1465</v>
      </c>
    </row>
    <row r="194" spans="1:9" x14ac:dyDescent="0.3">
      <c r="A194" t="s">
        <v>1466</v>
      </c>
      <c r="B194" t="s">
        <v>1467</v>
      </c>
      <c r="C194" t="s">
        <v>1468</v>
      </c>
      <c r="D194" t="s">
        <v>1033</v>
      </c>
      <c r="E194" t="s">
        <v>1469</v>
      </c>
      <c r="F194" t="s">
        <v>1470</v>
      </c>
      <c r="G194" t="s">
        <v>1471</v>
      </c>
      <c r="H194" t="s">
        <v>1472</v>
      </c>
      <c r="I194" t="s">
        <v>1473</v>
      </c>
    </row>
    <row r="195" spans="1:9" x14ac:dyDescent="0.3">
      <c r="A195" t="s">
        <v>1474</v>
      </c>
      <c r="B195" t="s">
        <v>1475</v>
      </c>
      <c r="C195" t="s">
        <v>1476</v>
      </c>
      <c r="D195" t="s">
        <v>1477</v>
      </c>
      <c r="E195" t="s">
        <v>1478</v>
      </c>
      <c r="F195" t="s">
        <v>1479</v>
      </c>
      <c r="G195" t="s">
        <v>1480</v>
      </c>
      <c r="H195" t="s">
        <v>1481</v>
      </c>
      <c r="I195" t="s">
        <v>1482</v>
      </c>
    </row>
    <row r="196" spans="1:9" x14ac:dyDescent="0.3">
      <c r="A196" t="s">
        <v>1483</v>
      </c>
      <c r="B196" t="s">
        <v>1483</v>
      </c>
      <c r="C196" t="s">
        <v>1484</v>
      </c>
      <c r="D196" t="s">
        <v>53</v>
      </c>
      <c r="E196" t="s">
        <v>1485</v>
      </c>
      <c r="F196" t="s">
        <v>1486</v>
      </c>
      <c r="G196" t="s">
        <v>1487</v>
      </c>
      <c r="H196" t="s">
        <v>1488</v>
      </c>
      <c r="I196" t="s">
        <v>1489</v>
      </c>
    </row>
    <row r="197" spans="1:9" x14ac:dyDescent="0.3">
      <c r="A197" t="s">
        <v>1490</v>
      </c>
      <c r="B197" t="s">
        <v>1491</v>
      </c>
      <c r="C197" t="s">
        <v>1492</v>
      </c>
      <c r="D197" t="s">
        <v>112</v>
      </c>
      <c r="E197" t="s">
        <v>1493</v>
      </c>
      <c r="F197" t="s">
        <v>1494</v>
      </c>
      <c r="G197" t="s">
        <v>1495</v>
      </c>
      <c r="H197" t="s">
        <v>1496</v>
      </c>
      <c r="I197" t="s">
        <v>1497</v>
      </c>
    </row>
    <row r="198" spans="1:9" x14ac:dyDescent="0.3">
      <c r="A198" t="s">
        <v>1498</v>
      </c>
      <c r="B198" t="s">
        <v>1499</v>
      </c>
      <c r="C198" t="s">
        <v>1500</v>
      </c>
      <c r="D198" t="s">
        <v>279</v>
      </c>
      <c r="E198" t="s">
        <v>1501</v>
      </c>
      <c r="F198" t="s">
        <v>191</v>
      </c>
      <c r="G198" t="s">
        <v>1502</v>
      </c>
      <c r="H198" t="s">
        <v>1503</v>
      </c>
      <c r="I198" t="s">
        <v>1504</v>
      </c>
    </row>
    <row r="199" spans="1:9" x14ac:dyDescent="0.3">
      <c r="A199" t="s">
        <v>1505</v>
      </c>
      <c r="B199" t="s">
        <v>1506</v>
      </c>
      <c r="C199" t="s">
        <v>1507</v>
      </c>
      <c r="D199" t="s">
        <v>45</v>
      </c>
      <c r="E199" t="s">
        <v>61</v>
      </c>
      <c r="F199" t="s">
        <v>181</v>
      </c>
      <c r="G199" t="s">
        <v>1508</v>
      </c>
      <c r="H199" t="s">
        <v>1509</v>
      </c>
      <c r="I199" t="s">
        <v>1510</v>
      </c>
    </row>
    <row r="200" spans="1:9" x14ac:dyDescent="0.3">
      <c r="A200" t="s">
        <v>1511</v>
      </c>
      <c r="B200" t="s">
        <v>1512</v>
      </c>
      <c r="C200" t="s">
        <v>1513</v>
      </c>
      <c r="D200" t="s">
        <v>207</v>
      </c>
      <c r="E200" t="s">
        <v>1514</v>
      </c>
      <c r="F200" t="s">
        <v>1515</v>
      </c>
      <c r="G200" t="s">
        <v>1516</v>
      </c>
      <c r="H200" t="s">
        <v>1517</v>
      </c>
      <c r="I200" t="s">
        <v>1518</v>
      </c>
    </row>
    <row r="201" spans="1:9" x14ac:dyDescent="0.3">
      <c r="A201" t="s">
        <v>1519</v>
      </c>
      <c r="B201" t="s">
        <v>1520</v>
      </c>
      <c r="C201" t="s">
        <v>1521</v>
      </c>
      <c r="D201" t="s">
        <v>633</v>
      </c>
      <c r="E201" t="s">
        <v>601</v>
      </c>
      <c r="F201" t="s">
        <v>1522</v>
      </c>
      <c r="G201" t="s">
        <v>1523</v>
      </c>
      <c r="H201" t="s">
        <v>1524</v>
      </c>
      <c r="I201" t="s">
        <v>1525</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83F1D2-C147-4AB6-B766-857F74A1698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KPI</vt:lpstr>
      <vt:lpstr>Sheet3</vt:lpstr>
      <vt:lpstr>Sheet7</vt:lpstr>
      <vt:lpstr>Sheet4</vt:lpstr>
      <vt:lpstr>Security</vt:lpstr>
      <vt:lpstr>Crypto_Dashboard</vt:lpstr>
      <vt:lpstr>Sheet2</vt:lpstr>
      <vt:lpstr>Cleaned_Data</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Misha prajapati</cp:lastModifiedBy>
  <cp:lastPrinted>2026-03-02T10:48:16Z</cp:lastPrinted>
  <dcterms:created xsi:type="dcterms:W3CDTF">2026-02-26T08:42:28Z</dcterms:created>
  <dcterms:modified xsi:type="dcterms:W3CDTF">2026-03-09T08:18:17Z</dcterms:modified>
</cp:coreProperties>
</file>