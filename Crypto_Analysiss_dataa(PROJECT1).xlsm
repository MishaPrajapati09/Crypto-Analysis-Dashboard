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79F05E47-9580-4E6F-8D2A-1AA4300C64EA}"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Sheet2" sheetId="20" r:id="rId7"/>
    <sheet name="Cleaned_Data" sheetId="3" r:id="rId8"/>
    <sheet name="Sheet1" sheetId="1" r:id="rId9"/>
  </sheets>
  <definedNames>
    <definedName name="ExternalData_1" localSheetId="7"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0" l="1"/>
  <c r="N6" i="14"/>
  <c r="L56" i="9"/>
  <c r="O10" i="14"/>
  <c r="N10" i="14"/>
  <c r="AB6" i="14" s="1"/>
  <c r="O9" i="14"/>
  <c r="O8" i="14"/>
  <c r="N9" i="14"/>
  <c r="AB5" i="14" s="1"/>
  <c r="N8" i="14"/>
  <c r="AB4" i="14" s="1"/>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<sst xmlns="http://schemas.openxmlformats.org/spreadsheetml/2006/main" count="4411" uniqueCount="1577">
  <si>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</si>
  <si>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</si>
  <si>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</si>
  <si>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</si>
  <si>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</si>
  <si>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</si>
  <si>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</si>
  <si>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</si>
  <si>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</si>
  <si>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</si>
  <si>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</si>
  <si>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</si>
  <si>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</si>
  <si>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</si>
  <si>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</si>
  <si>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</si>
  <si>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</si>
  <si>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</si>
  <si>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</si>
  <si>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</si>
  <si>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</si>
  <si>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</si>
  <si>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</si>
  <si>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</si>
  <si>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</si>
  <si>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</si>
  <si>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</si>
  <si>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</si>
  <si>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</si>
  <si>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</si>
  <si>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</si>
  <si>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</si>
  <si>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</si>
  <si>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</si>
  <si>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</si>
  <si>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</si>
  <si>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</si>
  <si>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</si>
  <si>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</si>
  <si>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</si>
  <si>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</si>
  <si>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</si>
  <si>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</si>
  <si>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</si>
  <si>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</si>
  <si>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</si>
  <si>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</si>
  <si>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</si>
  <si>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</si>
  <si>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</si>
  <si>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</si>
  <si>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</si>
  <si>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</si>
  <si>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</si>
  <si>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</si>
  <si>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</si>
  <si>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</si>
  <si>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</si>
  <si>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</si>
  <si>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</si>
  <si>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</si>
  <si>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</si>
  <si>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</si>
  <si>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</si>
  <si>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</si>
  <si>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</si>
  <si>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</si>
  <si>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</si>
  <si>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</si>
  <si>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</si>
  <si>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</si>
  <si>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</si>
  <si>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</si>
  <si>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</si>
  <si>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</si>
  <si>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</si>
  <si>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</si>
  <si>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</si>
  <si>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</si>
  <si>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</si>
  <si>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</si>
  <si>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</si>
  <si>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</si>
  <si>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</si>
  <si>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</si>
  <si>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</si>
  <si>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</si>
  <si>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</si>
  <si>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</si>
  <si>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</si>
  <si>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</si>
  <si>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</si>
  <si>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</si>
  <si>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</si>
  <si>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</si>
  <si>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</si>
  <si>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</si>
  <si>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</si>
  <si>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</si>
  <si>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</si>
  <si>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</si>
  <si>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</si>
  <si>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</si>
  <si>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</si>
  <si>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</si>
  <si>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</si>
  <si>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</si>
  <si>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</si>
  <si>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</si>
  <si>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</si>
  <si>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</si>
  <si>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</si>
  <si>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</si>
  <si>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</si>
  <si>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</si>
  <si>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</si>
  <si>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</si>
  <si>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</si>
  <si>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</si>
  <si>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</si>
  <si>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</si>
  <si>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</si>
  <si>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</si>
  <si>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</si>
  <si>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</si>
  <si>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</si>
  <si>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</si>
  <si>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</si>
  <si>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</si>
  <si>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</si>
  <si>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</si>
  <si>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</si>
  <si>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</si>
  <si>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</si>
  <si>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</si>
  <si>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</si>
  <si>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</si>
  <si>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</si>
  <si>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</si>
  <si>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</si>
  <si>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</si>
  <si>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</si>
  <si>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</si>
  <si>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</si>
  <si>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</si>
  <si>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</si>
  <si>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</si>
  <si>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</si>
  <si>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</si>
  <si>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</si>
  <si>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</si>
  <si>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</si>
  <si>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</si>
  <si>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</si>
  <si>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</si>
  <si>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</si>
  <si>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</si>
  <si>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</si>
  <si>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</si>
  <si>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</si>
  <si>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</si>
  <si>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</si>
  <si>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</si>
  <si>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</si>
  <si>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</si>
  <si>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</si>
  <si>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</si>
  <si>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</si>
  <si>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</si>
  <si>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</si>
  <si>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</si>
  <si>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</si>
  <si>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</si>
  <si>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</si>
  <si>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</si>
  <si>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</si>
  <si>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</si>
  <si>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</si>
  <si>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</si>
  <si>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</si>
  <si>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</si>
  <si>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</si>
  <si>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</si>
  <si>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</si>
  <si>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</si>
  <si>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</si>
  <si>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</si>
  <si>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</si>
  <si>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</si>
  <si>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</si>
  <si>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</si>
  <si>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</si>
  <si>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</si>
  <si>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</si>
  <si>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</si>
  <si>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</si>
  <si>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</si>
  <si>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</si>
  <si>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</si>
  <si>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</si>
  <si>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</si>
  <si>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</si>
  <si>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</si>
  <si>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</si>
  <si>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</si>
  <si>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</si>
  <si>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</si>
  <si>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</si>
  <si>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</si>
  <si>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</si>
  <si>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</si>
  <si>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</si>
  <si>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</si>
  <si>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</si>
  <si>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</si>
  <si>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</si>
  <si>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</si>
  <si>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</si>
  <si>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</si>
  <si>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</si>
  <si>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</si>
  <si>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</si>
  <si>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</si>
  <si>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</si>
  <si>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</si>
  <si>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</si>
  <si>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</si>
  <si>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</si>
  <si>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</si>
  <si>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</si>
  <si>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</si>
  <si>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</si>
  <si>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</si>
  <si>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</si>
  <si>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</si>
  <si>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</si>
  <si>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</si>
  <si>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</si>
  <si>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</si>
  <si>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</si>
  <si>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</si>
  <si>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</si>
  <si>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</si>
  <si>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</si>
  <si>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</si>
  <si>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</si>
  <si>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</si>
  <si>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</si>
  <si>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</si>
  <si>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</si>
  <si>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</si>
  <si>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</si>
  <si>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</si>
  <si>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</si>
  <si>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</si>
  <si>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</si>
  <si>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</si>
  <si>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</si>
  <si>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</si>
  <si>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</si>
  <si>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</si>
  <si>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</si>
  <si>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</si>
  <si>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</si>
  <si>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</si>
  <si>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</si>
  <si>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</si>
  <si>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</si>
  <si>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</si>
  <si>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</si>
  <si>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</si>
  <si>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</si>
  <si>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</si>
  <si>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</si>
  <si>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</si>
  <si>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</si>
  <si>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</si>
  <si>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</si>
  <si>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</si>
  <si>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</si>
  <si>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</si>
  <si>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</si>
  <si>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</si>
  <si>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</si>
  <si>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</si>
  <si>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</si>
  <si>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</si>
  <si>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</si>
  <si>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</si>
  <si>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</si>
  <si>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</si>
  <si>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</si>
  <si>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</si>
  <si>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</si>
  <si>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</si>
  <si>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</si>
  <si>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</si>
  <si>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</si>
  <si>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</si>
  <si>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</si>
  <si>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</si>
  <si>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</si>
  <si>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</si>
  <si>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</si>
  <si>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</si>
  <si>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</si>
  <si>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</si>
  <si>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</si>
  <si>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</si>
  <si>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</si>
  <si>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</si>
  <si>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</si>
  <si>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</si>
  <si>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</si>
  <si>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</si>
  <si>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</si>
  <si>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</si>
  <si>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</si>
  <si>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</si>
  <si>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</si>
  <si>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</si>
  <si>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</si>
  <si>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</si>
  <si>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</si>
  <si>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</si>
  <si>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</si>
  <si>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</si>
  <si>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</si>
  <si>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</si>
  <si>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</si>
  <si>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</si>
  <si>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</si>
  <si>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</si>
  <si>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</si>
  <si>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</si>
  <si>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</si>
  <si>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</si>
  <si>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</si>
  <si>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</si>
  <si>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</si>
  <si>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</si>
  <si>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</si>
  <si>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</si>
  <si>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</si>
  <si>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</si>
  <si>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</si>
  <si>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</si>
  <si>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</si>
  <si>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</si>
  <si>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</si>
  <si>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</si>
  <si>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</si>
  <si>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</si>
  <si>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</si>
  <si>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</si>
  <si>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</si>
  <si>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</si>
  <si>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</si>
  <si>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</si>
  <si>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</si>
  <si>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</si>
  <si>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</si>
  <si>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</si>
  <si>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</si>
  <si>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</si>
  <si>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</si>
  <si>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</si>
  <si>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</si>
  <si>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</si>
  <si>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</si>
  <si>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</si>
  <si>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</si>
  <si>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</si>
  <si>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</si>
  <si>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</si>
  <si>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</si>
  <si>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</si>
  <si>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</si>
  <si>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</si>
  <si>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</si>
  <si>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</si>
  <si>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</si>
  <si>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</si>
  <si>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</si>
  <si>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</si>
  <si>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</si>
  <si>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</si>
  <si>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</si>
  <si>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</si>
  <si>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</si>
  <si>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</si>
  <si>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</si>
  <si>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</si>
  <si>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</si>
  <si>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</si>
  <si>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</si>
  <si>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</si>
  <si>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</si>
  <si>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</si>
  <si>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</si>
  <si>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</si>
  <si>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</si>
  <si>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</si>
  <si>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</si>
  <si>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</si>
  <si>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</si>
  <si>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</si>
  <si>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</si>
  <si>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</si>
  <si>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</si>
  <si>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</si>
  <si>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</si>
  <si>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</si>
  <si>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</si>
  <si>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</si>
  <si>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</si>
  <si>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</si>
  <si>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</si>
  <si>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</si>
  <si>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</si>
  <si>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</si>
  <si>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</si>
  <si>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</si>
  <si>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</si>
  <si>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</si>
  <si>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</si>
  <si>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</si>
  <si>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</si>
  <si>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</si>
  <si>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</si>
  <si>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</si>
  <si>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</si>
  <si>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</si>
  <si>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</si>
  <si>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</si>
  <si>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</si>
  <si>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</si>
  <si>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</si>
  <si>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</si>
  <si>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</si>
  <si>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</si>
  <si>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</si>
  <si>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</si>
  <si>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</si>
  <si>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</si>
  <si>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</si>
  <si>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</si>
  <si>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</si>
  <si>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</si>
  <si>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</si>
  <si>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</si>
  <si>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</si>
  <si>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</si>
  <si>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</si>
  <si>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</si>
  <si>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</si>
  <si>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</si>
  <si>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</si>
  <si>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</si>
  <si>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</si>
  <si>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</si>
  <si>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</si>
  <si>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</si>
  <si>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</si>
  <si>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</si>
  <si>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</si>
  <si>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</si>
  <si>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</si>
  <si>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</si>
  <si>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</si>
  <si>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</si>
  <si>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</si>
  <si>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</si>
  <si>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</si>
  <si>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</si>
  <si>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</si>
  <si>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</si>
  <si>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</si>
  <si>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</si>
  <si>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</si>
  <si>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</si>
  <si>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</si>
  <si>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</si>
  <si>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</si>
  <si>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</si>
  <si>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</si>
  <si>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</si>
  <si>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</si>
  <si>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</si>
  <si>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</si>
  <si>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</si>
  <si>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</si>
  <si>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</si>
  <si>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</si>
  <si>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</si>
  <si>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</si>
  <si>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</si>
  <si>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</si>
  <si>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</si>
  <si>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</si>
  <si>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</si>
  <si>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</si>
  <si>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</si>
  <si>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</si>
  <si>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</si>
  <si>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</si>
  <si>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</si>
  <si>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</si>
  <si>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</si>
  <si>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</si>
  <si>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</si>
  <si>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</si>
  <si>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</si>
  <si>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</si>
  <si>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</si>
  <si>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</si>
  <si>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</si>
  <si>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</si>
  <si>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</si>
  <si>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</si>
  <si>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</si>
  <si>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</si>
  <si>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</si>
  <si>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</si>
  <si>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</si>
  <si>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</si>
  <si>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</si>
  <si>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</si>
  <si>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</si>
  <si>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</si>
  <si>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</si>
  <si>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</si>
  <si>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</si>
  <si>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</si>
  <si>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</si>
  <si>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</si>
  <si>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</si>
  <si>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</si>
  <si>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</si>
  <si>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</si>
  <si>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</si>
  <si>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</si>
  <si>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</si>
  <si>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</si>
  <si>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</si>
  <si>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</si>
  <si>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</si>
  <si>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</si>
  <si>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</si>
  <si>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</si>
  <si>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</si>
  <si>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</si>
  <si>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</si>
  <si>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</si>
  <si>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</si>
  <si>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</si>
  <si>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</si>
  <si>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</si>
  <si>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</si>
  <si>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</si>
  <si>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</si>
  <si>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</si>
  <si>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</si>
  <si>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</si>
  <si>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</si>
  <si>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</si>
  <si>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</si>
  <si>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</si>
  <si>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</si>
  <si>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</si>
  <si>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</si>
  <si>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</si>
  <si>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</si>
  <si>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</si>
  <si>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</si>
  <si>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</si>
  <si>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</si>
  <si>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</si>
  <si>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</si>
  <si>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</si>
  <si>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</si>
  <si>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</si>
  <si>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</si>
  <si>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</si>
  <si>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</si>
  <si>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</si>
  <si>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</si>
  <si>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</si>
  <si>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</si>
  <si>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</si>
  <si>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</si>
  <si>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</si>
  <si>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</si>
  <si>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</si>
  <si>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</si>
  <si>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</si>
  <si>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</si>
  <si>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</si>
  <si>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</si>
  <si>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</si>
  <si>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</si>
  <si>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</si>
  <si>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</si>
  <si>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</si>
  <si>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</si>
  <si>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</si>
  <si>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</si>
  <si>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</si>
  <si>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</si>
  <si>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</si>
  <si>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</si>
  <si>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</si>
  <si>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</si>
  <si>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</si>
  <si>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</si>
  <si>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</si>
  <si>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</si>
  <si>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</si>
  <si>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</si>
  <si>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</si>
  <si>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</si>
  <si>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</si>
  <si>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</si>
  <si>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</si>
  <si>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</si>
  <si>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</si>
  <si>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</si>
  <si>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</si>
  <si>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</si>
  <si>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</si>
  <si>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</si>
  <si>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</si>
  <si>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</si>
  <si>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</si>
  <si>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</si>
  <si>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</si>
  <si>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</si>
  <si>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</si>
  <si>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</si>
  <si>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</si>
  <si>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</si>
  <si>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</si>
  <si>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</si>
  <si>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</si>
  <si>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</si>
  <si>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</si>
  <si>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</si>
  <si>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</si>
  <si>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</si>
  <si>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</si>
  <si>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</si>
  <si>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</si>
  <si>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</si>
  <si>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</si>
  <si>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</si>
  <si>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</si>
  <si>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</si>
  <si>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</si>
  <si>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</si>
  <si>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</si>
  <si>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</si>
  <si>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</si>
  <si>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</si>
  <si>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</si>
  <si>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</si>
  <si>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</si>
  <si>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</si>
  <si>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</si>
  <si>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</si>
  <si>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</si>
  <si>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</si>
  <si>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</si>
  <si>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</si>
  <si>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</si>
  <si>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</si>
  <si>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</si>
  <si>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</si>
  <si>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</si>
  <si>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</si>
  <si>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</si>
  <si>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</si>
  <si>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</si>
  <si>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</si>
  <si>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</si>
  <si>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</si>
  <si>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</si>
  <si>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</si>
  <si>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</si>
  <si>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</si>
  <si>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</si>
  <si>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</si>
  <si>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</si>
  <si>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</si>
  <si>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</si>
  <si>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</si>
  <si>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</si>
  <si>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</si>
  <si>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</si>
  <si>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</si>
  <si>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</si>
  <si>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</si>
  <si>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</si>
  <si>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</si>
  <si>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</si>
  <si>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</si>
  <si>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</si>
  <si>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</si>
  <si>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</si>
  <si>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</si>
  <si>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</si>
  <si>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</si>
  <si>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</si>
  <si>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</si>
  <si>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</si>
  <si>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</si>
  <si>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</si>
  <si>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</si>
  <si>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</si>
  <si>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</si>
  <si>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</si>
  <si>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</si>
  <si>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</si>
  <si>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</si>
  <si>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</si>
  <si>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</si>
  <si>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</si>
  <si>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</si>
  <si>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</si>
  <si>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</si>
  <si>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</si>
  <si>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</si>
  <si>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</si>
  <si>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</si>
  <si>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</si>
  <si>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</si>
  <si>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</si>
  <si>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</si>
  <si>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</si>
  <si>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</si>
  <si>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</si>
  <si>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</si>
  <si>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</si>
  <si>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</si>
  <si>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</si>
  <si>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</si>
  <si>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</si>
  <si>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</si>
  <si>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</si>
  <si>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</si>
  <si>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</si>
  <si>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</si>
  <si>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</si>
  <si>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</si>
  <si>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</si>
  <si>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</si>
  <si>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</si>
  <si>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</si>
  <si>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</si>
  <si>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</si>
  <si>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</si>
  <si>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</si>
  <si>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</si>
  <si>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</si>
  <si>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</si>
  <si>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</si>
  <si>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</si>
  <si>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</si>
  <si>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</si>
  <si>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</si>
  <si>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</si>
  <si>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</si>
  <si>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</si>
  <si>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</si>
  <si>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</si>
  <si>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</si>
  <si>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</si>
  <si>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</si>
  <si>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</si>
  <si>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</si>
  <si>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</si>
  <si>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</si>
  <si>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</si>
  <si>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</si>
  <si>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</si>
  <si>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</si>
  <si>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</si>
  <si>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</si>
  <si>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</si>
  <si>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</si>
  <si>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</si>
  <si>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</si>
  <si>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</si>
  <si>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</si>
  <si>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</si>
  <si>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</si>
  <si>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</si>
  <si>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</si>
  <si>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</si>
  <si>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</si>
  <si>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</si>
  <si>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</si>
  <si>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</si>
  <si>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</si>
  <si>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</si>
  <si>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</si>
  <si>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</si>
  <si>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</si>
  <si>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</si>
  <si>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</si>
  <si>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</si>
  <si>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</si>
  <si>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</si>
  <si>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</si>
  <si>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</si>
  <si>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</si>
  <si>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</si>
  <si>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</si>
  <si>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</si>
  <si>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</si>
  <si>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</si>
  <si>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</si>
  <si>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</si>
  <si>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</si>
  <si>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</si>
  <si>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</si>
  <si>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</si>
  <si>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</si>
  <si>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</si>
  <si>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</si>
  <si>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</si>
  <si>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</si>
  <si>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</si>
  <si>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</si>
  <si>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</si>
  <si>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</si>
  <si>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</si>
  <si>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</si>
  <si>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</si>
  <si>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</si>
  <si>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</si>
  <si>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</si>
  <si>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</si>
  <si>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</si>
  <si>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</si>
  <si>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</si>
  <si>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</si>
  <si>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</si>
  <si>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</si>
  <si>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</si>
  <si>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</si>
  <si>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</si>
  <si>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</si>
  <si>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</si>
  <si>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</si>
  <si>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</si>
  <si>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</si>
  <si>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</si>
  <si>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</si>
  <si>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</si>
  <si>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</si>
  <si>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</si>
  <si>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</si>
  <si>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</si>
  <si>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</si>
  <si>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</si>
  <si>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</si>
  <si>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</si>
  <si>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</si>
  <si>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</si>
  <si>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</si>
  <si>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</si>
  <si>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</si>
  <si>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</si>
  <si>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</si>
  <si>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</si>
  <si>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</si>
  <si>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</si>
  <si>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</si>
  <si>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</si>
  <si>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</si>
  <si>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</si>
  <si>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</si>
  <si>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</si>
  <si>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</si>
  <si>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</si>
  <si>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</si>
  <si>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</si>
  <si>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</si>
  <si>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</si>
  <si>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</si>
  <si>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</si>
  <si>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</si>
  <si>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</si>
  <si>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</si>
  <si>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</si>
  <si>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</si>
  <si>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</si>
  <si>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</si>
  <si>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</si>
  <si>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</si>
  <si>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</si>
  <si>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</si>
  <si>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</si>
  <si>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</si>
  <si>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</si>
  <si>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</si>
  <si>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</si>
  <si>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</si>
  <si>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</si>
  <si>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</si>
  <si>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</si>
  <si>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</si>
  <si>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</si>
  <si>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</si>
  <si>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</si>
  <si>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</si>
  <si>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</si>
  <si>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</si>
  <si>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</si>
  <si>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</si>
  <si>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</si>
  <si>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</si>
  <si>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</si>
  <si>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</si>
  <si>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</si>
  <si>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</si>
  <si>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</si>
  <si>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</si>
  <si>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</si>
  <si>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</si>
  <si>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</si>
  <si>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</si>
  <si>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</si>
  <si>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</si>
  <si>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</si>
  <si>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</si>
  <si>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</si>
  <si>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</si>
  <si>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</si>
  <si>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</si>
  <si>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</si>
  <si>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</si>
  <si>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</si>
  <si>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</si>
  <si>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</si>
  <si>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</si>
  <si>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</si>
  <si>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</si>
  <si>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</si>
  <si>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</si>
  <si>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</si>
  <si>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</si>
  <si>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</si>
  <si>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</si>
  <si>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</si>
  <si>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</si>
  <si>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</si>
  <si>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</si>
  <si>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</si>
  <si>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</si>
  <si>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</si>
  <si>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</si>
  <si>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</si>
  <si>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</si>
  <si>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</si>
  <si>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</si>
  <si>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</si>
  <si>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</si>
  <si>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</si>
  <si>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</si>
  <si>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</si>
  <si>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</si>
  <si>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</si>
  <si>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</si>
  <si>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</si>
  <si>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</si>
  <si>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</si>
  <si>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</si>
  <si>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</si>
  <si>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</si>
  <si>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</si>
  <si>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</si>
  <si>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</si>
  <si>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</si>
  <si>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</si>
  <si>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</si>
  <si>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</si>
  <si>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</si>
  <si>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</si>
  <si>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</si>
  <si>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</si>
  <si>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</si>
  <si>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</si>
  <si>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</si>
  <si>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</si>
  <si>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</si>
  <si>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</si>
  <si>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</si>
  <si>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</si>
  <si>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</si>
  <si>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</si>
  <si>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</si>
  <si>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</si>
  <si>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</si>
  <si>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</si>
  <si>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</si>
  <si>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</si>
  <si>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</si>
  <si>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</si>
  <si>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</si>
  <si>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</si>
  <si>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</si>
  <si>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</si>
  <si>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</si>
  <si>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</si>
  <si>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</si>
  <si>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</si>
  <si>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</si>
  <si>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</si>
  <si>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</si>
  <si>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</si>
  <si>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</si>
  <si>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</si>
  <si>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</si>
  <si>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</si>
  <si>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</si>
  <si>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</si>
  <si>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</si>
  <si>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</si>
  <si>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</si>
  <si>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</si>
  <si>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</si>
  <si>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</si>
  <si>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</si>
  <si>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</si>
  <si>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</si>
  <si>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</si>
  <si>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</si>
  <si>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</si>
  <si>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</si>
  <si>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</si>
  <si>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</si>
  <si>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</si>
  <si>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</si>
  <si>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</si>
  <si>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</si>
  <si>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</si>
  <si>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</si>
  <si>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</si>
  <si>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</si>
  <si>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</si>
  <si>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</si>
  <si>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</si>
  <si>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</si>
  <si>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</si>
  <si>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</si>
  <si>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</si>
  <si>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</si>
  <si>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</si>
  <si>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</si>
  <si>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</si>
  <si>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</si>
  <si>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</si>
  <si>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</si>
  <si>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</si>
  <si>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</si>
  <si>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</si>
  <si>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</si>
  <si>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</si>
  <si>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</si>
  <si>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</si>
  <si>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</si>
  <si>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</si>
  <si>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</si>
  <si>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</si>
  <si>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</si>
  <si>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</si>
  <si>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</si>
  <si>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</si>
  <si>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</si>
  <si>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</si>
  <si>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</si>
  <si>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</si>
  <si>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</si>
  <si>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</si>
  <si>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</si>
  <si>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</si>
  <si>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</si>
  <si>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</si>
  <si>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</si>
  <si>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</si>
  <si>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</si>
  <si>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</si>
  <si>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</si>
  <si>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</si>
  <si>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</si>
  <si>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</si>
  <si>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</si>
  <si>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</si>
  <si>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</si>
  <si>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</si>
  <si>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</si>
  <si>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</si>
  <si>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</si>
  <si>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</si>
  <si>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</si>
  <si>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</si>
  <si>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</si>
  <si>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</si>
  <si>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</si>
  <si>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</si>
  <si>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</si>
  <si>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</si>
  <si>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</si>
  <si>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</si>
  <si>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</si>
  <si>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</si>
  <si>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</si>
  <si>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</si>
  <si>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</si>
  <si>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</si>
  <si>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</si>
  <si>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</si>
  <si>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</si>
  <si>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</si>
  <si>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</si>
  <si>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</si>
  <si>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</si>
  <si>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</si>
  <si>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</si>
  <si>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</si>
  <si>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</si>
  <si>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</si>
  <si>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</si>
  <si>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</si>
  <si>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</si>
  <si>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</si>
  <si>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</si>
  <si>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</si>
  <si>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</si>
  <si>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</si>
  <si>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</si>
  <si>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</si>
  <si>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</si>
  <si>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</si>
  <si>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</si>
  <si>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</si>
  <si>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</si>
  <si>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</si>
  <si>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</si>
  <si>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</si>
  <si>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</si>
  <si>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</si>
  <si>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</si>
  <si>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</si>
  <si>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</si>
  <si>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</si>
  <si>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</si>
  <si>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</si>
  <si>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</si>
  <si>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</si>
  <si>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</si>
  <si>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</si>
  <si>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</si>
  <si>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</si>
  <si>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</si>
  <si>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</si>
  <si>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</si>
  <si>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</si>
  <si>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</si>
  <si>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</si>
  <si>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</si>
  <si>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</si>
  <si>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</si>
  <si>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</si>
  <si>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</si>
  <si>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</si>
  <si>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</si>
  <si>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</si>
  <si>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</si>
  <si>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</si>
  <si>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</si>
  <si>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</si>
  <si>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</si>
  <si>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</si>
  <si>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</si>
  <si>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</si>
  <si>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</si>
  <si>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</si>
  <si>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</si>
  <si>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</si>
  <si>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</si>
  <si>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</si>
  <si>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</si>
  <si>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</si>
  <si>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</si>
  <si>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</si>
  <si>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</si>
  <si>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</si>
  <si>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</si>
  <si>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</si>
  <si>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</si>
  <si>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</si>
  <si>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</si>
  <si>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</si>
  <si>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</si>
  <si>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</si>
  <si>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</si>
  <si>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</si>
  <si>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</si>
  <si>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</si>
  <si>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</si>
  <si>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</si>
  <si>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</si>
  <si>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</si>
  <si>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</si>
  <si>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</si>
  <si>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</si>
  <si>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</si>
  <si>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</si>
  <si>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</si>
  <si>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</si>
  <si>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</si>
  <si>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</si>
  <si>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</si>
  <si>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</si>
  <si>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</si>
  <si>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</si>
  <si>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</si>
  <si>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</si>
  <si>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</si>
  <si>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</si>
  <si>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</si>
  <si>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</si>
  <si>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</si>
  <si>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</si>
  <si>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</si>
  <si>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</si>
  <si>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</si>
  <si>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</si>
  <si>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</si>
  <si>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</si>
  <si>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</si>
  <si>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</si>
  <si>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</si>
  <si>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</si>
  <si>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</si>
  <si>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</si>
  <si>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</si>
  <si>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</si>
  <si>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</si>
  <si>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</si>
  <si>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</si>
  <si>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</si>
  <si>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</si>
  <si>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</si>
  <si>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</si>
  <si>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</si>
  <si>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</si>
  <si>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</si>
  <si>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</si>
  <si>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</si>
  <si>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</si>
  <si>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</si>
  <si>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</si>
  <si>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</si>
  <si>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</si>
  <si>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</si>
  <si>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</si>
  <si>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</si>
  <si>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</si>
  <si>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</si>
  <si>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</si>
  <si>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</si>
  <si>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</si>
  <si>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</si>
  <si>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</si>
  <si>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</si>
  <si>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</si>
  <si>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</si>
  <si>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</si>
  <si>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</si>
  <si>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</si>
  <si>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</si>
  <si>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</si>
  <si>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</si>
  <si>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</si>
  <si>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</si>
  <si>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</si>
  <si>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</si>
  <si>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</si>
  <si>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</si>
  <si>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</si>
  <si>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</si>
  <si>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</si>
  <si>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</si>
  <si>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</si>
  <si>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</si>
  <si>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</si>
  <si>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</si>
  <si>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</si>
  <si>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</si>
  <si>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</si>
  <si>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</si>
  <si>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</si>
  <si>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</si>
  <si>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</si>
  <si>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</si>
  <si>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</si>
  <si>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</si>
  <si>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</si>
  <si>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</si>
  <si>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</si>
  <si>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</si>
  <si>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</si>
  <si>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</si>
  <si>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</si>
  <si>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</si>
  <si>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</si>
  <si>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</si>
  <si>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</si>
  <si>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</si>
  <si>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</si>
  <si>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</si>
  <si>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</si>
  <si>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</si>
  <si>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</si>
  <si>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</si>
  <si>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</si>
  <si>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</si>
  <si>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</si>
  <si>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</si>
  <si>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</si>
  <si>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</si>
  <si>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</si>
  <si>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</si>
  <si>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</si>
  <si>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</si>
  <si>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</si>
  <si>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</si>
  <si>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</si>
  <si>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</si>
  <si>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</si>
  <si>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</si>
  <si>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</si>
  <si>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</si>
  <si>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</si>
  <si>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</si>
  <si>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</si>
  <si>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</si>
  <si>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</si>
  <si>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</si>
  <si>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</si>
  <si>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</si>
  <si>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</si>
  <si>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</si>
  <si>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</si>
  <si>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</si>
  <si>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</si>
  <si>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</si>
  <si>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</si>
  <si>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</si>
  <si>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</si>
  <si>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</si>
  <si>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</si>
  <si>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</si>
  <si>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</si>
  <si>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</si>
  <si>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</si>
  <si>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</si>
  <si>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</si>
  <si>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</si>
  <si>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</si>
  <si>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</si>
  <si>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</si>
  <si>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</si>
  <si>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</si>
  <si>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</si>
  <si>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</si>
  <si>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</si>
  <si>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</si>
  <si>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</si>
  <si>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</si>
  <si>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</si>
  <si>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</si>
  <si>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</si>
  <si>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</si>
  <si>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</si>
  <si>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</si>
  <si>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</si>
  <si>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</si>
  <si>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</si>
  <si>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</si>
  <si>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</si>
  <si>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</si>
  <si>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</si>
  <si>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</si>
  <si>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</si>
  <si>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</si>
  <si>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</si>
  <si>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</si>
  <si>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</si>
  <si>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</si>
  <si>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</si>
  <si>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</si>
  <si>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</si>
  <si>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</si>
  <si>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</si>
  <si>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</si>
  <si>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</si>
  <si>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</si>
  <si>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</si>
  <si>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</si>
  <si>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</si>
  <si>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</si>
  <si>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</si>
  <si>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</si>
  <si>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</si>
  <si>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</si>
  <si>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</si>
  <si>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</si>
  <si>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</si>
  <si>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</si>
  <si>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</si>
  <si>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</si>
  <si>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</si>
  <si>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</si>
  <si>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</si>
  <si>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</si>
  <si>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</si>
  <si>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</si>
  <si>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</si>
  <si>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</si>
  <si>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</si>
  <si>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</si>
  <si>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</si>
  <si>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</si>
  <si>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</si>
  <si>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</si>
  <si>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</si>
  <si>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</si>
  <si>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</si>
  <si>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</si>
  <si>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</si>
  <si>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</si>
  <si>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</si>
  <si>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</si>
  <si>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</si>
  <si>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</si>
  <si>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</si>
  <si>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</si>
  <si>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</si>
  <si>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</si>
  <si>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</si>
  <si>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</si>
  <si>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</si>
  <si>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</si>
  <si>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</si>
  <si>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</si>
  <si>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</si>
  <si>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</si>
  <si>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</si>
  <si>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</si>
  <si>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</si>
  <si>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</si>
  <si>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</si>
  <si>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</si>
  <si>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</si>
  <si>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</si>
  <si>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</si>
  <si>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</si>
  <si>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</si>
  <si>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</si>
  <si>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</si>
  <si>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</si>
  <si>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</si>
  <si>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</si>
  <si>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</si>
  <si>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</si>
  <si>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</si>
  <si>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</si>
  <si>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</si>
  <si>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</si>
  <si>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</si>
  <si>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</si>
  <si>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</si>
  <si>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</si>
  <si>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</si>
  <si>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</si>
  <si>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</si>
  <si>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</si>
  <si>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</si>
  <si>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</si>
  <si>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</si>
  <si>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</si>
  <si>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</si>
  <si>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</si>
  <si>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</si>
  <si>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</si>
  <si>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</si>
  <si>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</si>
  <si>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</si>
  <si>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</si>
  <si>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</si>
  <si>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</si>
  <si>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</si>
  <si>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</si>
  <si>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</si>
  <si>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</si>
  <si>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</si>
  <si>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</si>
  <si>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</si>
  <si>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</si>
  <si>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</si>
  <si>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</si>
  <si>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</si>
  <si>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</si>
  <si>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</si>
  <si>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</si>
  <si>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</si>
  <si>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</si>
  <si>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</si>
  <si>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</si>
  <si>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</si>
  <si>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</si>
  <si>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</si>
  <si>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</si>
  <si>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</si>
  <si>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</si>
  <si>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</si>
  <si>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</si>
  <si>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</si>
  <si>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</si>
  <si>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</si>
  <si>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</si>
  <si>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</si>
  <si>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</si>
  <si>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</si>
  <si>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</si>
  <si>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</si>
  <si>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</si>
  <si>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</si>
  <si>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</si>
  <si>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</si>
  <si>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</si>
  <si>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</si>
  <si>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</si>
  <si>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</si>
  <si>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</si>
  <si>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</si>
  <si>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</si>
  <si>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</si>
  <si>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</si>
  <si>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</si>
  <si>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</si>
  <si>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</si>
  <si>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</si>
  <si>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</si>
  <si>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</si>
  <si>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</si>
  <si>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</si>
  <si>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</si>
  <si>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</si>
  <si>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</si>
  <si>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</si>
  <si>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</si>
  <si>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</si>
  <si>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</si>
  <si>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</si>
  <si>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</si>
  <si>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</si>
  <si>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</si>
  <si>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</si>
  <si>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</si>
  <si>
    <t>Developed By  : Misha Prajapati</t>
  </si>
  <si>
    <t>Project : Crypto Analysis Dashboard</t>
  </si>
  <si>
    <t>Developed By : Misha Prajapati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</si>
</sst>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4">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5" fillId="3" borderId="0" xfId="0" applyFont="1" applyFill="1" applyAlignment="1">
      <alignment horizontal="left"/>
    </xf>
    <xf numFmtId="4" fontId="5" fillId="3" borderId="0" xfId="0" applyNumberFormat="1"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xf numFmtId="0" fontId="0" fillId="6" borderId="0" xfId="0" applyFill="1" applyAlignment="1"/>
    <xf numFmtId="0" fontId="8" fillId="6" borderId="0" xfId="0" applyFont="1" applyFill="1" applyAlignment="1">
      <alignment horizontal="center" vertical="center"/>
    </xf>
    <xf numFmtId="0" fontId="9" fillId="6" borderId="0" xfId="0" applyFont="1" applyFill="1" applyAlignment="1">
      <alignment horizontal="center" vertical="center"/>
    </xf>
  </cellXfs>
  <cellStyles count="2">
    <cellStyle name="Comma" xfId="1" builtinId="3"/>
    <cellStyle name="Normal" xfId="0" builtinId="0"/>
  </cellStyles>
  <dxfs count="38">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sz val="14"/>
      </font>
    </dxf>
    <dxf>
      <font>
        <sz val="14"/>
      </font>
    </dxf>
    <dxf>
      <font>
        <sz val="14"/>
      </font>
    </dxf>
    <dxf>
      <font>
        <sz val="14"/>
      </font>
    </dxf>
    <dxf>
      <font>
        <sz val="14"/>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2"/>
      </font>
    </dxf>
    <dxf>
      <font>
        <sz val="12"/>
      </font>
    </dxf>
    <dxf>
      <font>
        <sz val="12"/>
      </font>
    </dxf>
    <dxf>
      <font>
        <sz val="12"/>
      </font>
    </dxf>
    <dxf>
      <font>
        <sz val="12"/>
      </font>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37"/>
    </tableStyle>
    <tableStyle name="Slicer Style 2" pivot="0" table="0" count="1" xr9:uid="{3BBBB5B7-5BBB-470D-BFFD-A25CEC32D01E}"/>
    <tableStyle name="Slicer Style 3" pivot="0" table="0" count="1" xr9:uid="{9DAEDA26-6D6D-4761-AFE7-6214AA2488CF}">
      <tableStyleElement type="wholeTable" dxfId="36"/>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35"/>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hidden="1">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478191-DF1C-4C9C-9D72-C5FB6EBFBFDE}" name="PivotTable3"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A1:B6"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formats count="15">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5">
            <x v="35"/>
            <x v="52"/>
            <x v="166"/>
            <x v="175"/>
            <x v="188"/>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5">
            <x v="35"/>
            <x v="52"/>
            <x v="166"/>
            <x v="175"/>
            <x v="188"/>
          </reference>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5">
            <x v="35"/>
            <x v="52"/>
            <x v="166"/>
            <x v="175"/>
            <x v="188"/>
          </reference>
        </references>
      </pivotArea>
    </format>
    <format dxfId="1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 tabId="20" name="PivotTable3"/>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34"/>
    <tableColumn id="2" xr3:uid="{D45C7BDC-011B-45F2-ABD0-C53D924E078F}" uniqueName="2" name="Symbol" queryTableFieldId="2" dataDxfId="33"/>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32" dataCellStyle="Comma"/>
    <tableColumn id="8" xr3:uid="{38E211A9-084D-4C27-9716-EFAB5725602D}" uniqueName="8" name="volume (24h) USD" queryTableFieldId="8" dataDxfId="31" dataCellStyle="Comma"/>
    <tableColumn id="9" xr3:uid="{BF233B90-C32C-43C7-ADBB-9F61E6A7B57B}" uniqueName="9" name="Circulating Supply" queryTableFieldId="9" dataDxfId="30" dataCellStyle="Comma"/>
    <tableColumn id="10" xr3:uid="{25890E78-C84D-45A6-9CB3-C567F1760453}" uniqueName="10" name="Average Downfall" queryTableFieldId="10" dataDxfId="29"/>
    <tableColumn id="11" xr3:uid="{B05B7E13-D764-47E3-8AB8-C39CA5753775}" uniqueName="11" name="7d Prev Price" queryTableFieldId="11" dataDxfId="28"/>
    <tableColumn id="12" xr3:uid="{3E55AF1B-F8FC-4AB4-ACC5-8D31D1A501ED}" uniqueName="12" name="24h Prev Price" queryTableFieldId="12" dataDxfId="27"/>
    <tableColumn id="13" xr3:uid="{06276FF2-053E-48C8-95C4-B685BA1A0015}" uniqueName="13" name="1h Prev Price" queryTableFieldId="13" dataDxfId="26"/>
    <tableColumn id="14" xr3:uid="{2AE1D970-43A1-4F63-A9ED-E50B64E11096}" uniqueName="14" name="Price Change(1h)" queryTableFieldId="14" dataDxfId="25"/>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v>68106.12</v>
      </c>
      <c r="I39" s="2">
        <v>68085.694291712483</v>
      </c>
    </row>
    <row r="40" spans="1:9" x14ac:dyDescent="0.3">
      <c r="F40" s="7" t="s">
        <v>27</v>
      </c>
      <c r="G40" s="5">
        <v>12.22413518886674</v>
      </c>
      <c r="H40">
        <v>2049.58</v>
      </c>
      <c r="I40" s="2">
        <v>2037.3558648111332</v>
      </c>
    </row>
    <row r="41" spans="1:9" x14ac:dyDescent="0.3">
      <c r="B41" t="s">
        <v>1570</v>
      </c>
      <c r="F41" s="7" t="s">
        <v>614</v>
      </c>
      <c r="G41" s="5">
        <v>0.9013574209002968</v>
      </c>
      <c r="H41">
        <v>475.3</v>
      </c>
      <c r="I41" s="2">
        <v>474.39864257909971</v>
      </c>
    </row>
    <row r="42" spans="1:9" x14ac:dyDescent="0.3">
      <c r="F42" s="7" t="s">
        <v>118</v>
      </c>
      <c r="G42" s="5">
        <v>0.21833498710061505</v>
      </c>
      <c r="H42">
        <v>28.21</v>
      </c>
      <c r="I42" s="2">
        <v>27.991665012899386</v>
      </c>
    </row>
    <row r="43" spans="1:9" x14ac:dyDescent="0.3">
      <c r="B43" s="9"/>
      <c r="C43" s="9"/>
      <c r="F43" s="7" t="s">
        <v>729</v>
      </c>
      <c r="G43" s="5">
        <v>0.67795425032466028</v>
      </c>
      <c r="H43">
        <v>617</v>
      </c>
      <c r="I43" s="2">
        <v>616.32204574967534</v>
      </c>
    </row>
    <row r="44" spans="1:9" x14ac:dyDescent="0.3">
      <c r="B44" s="11"/>
      <c r="C44" s="11"/>
      <c r="F44" s="7" t="s">
        <v>945</v>
      </c>
      <c r="G44" s="5">
        <v>0.22837074728124662</v>
      </c>
      <c r="H44">
        <v>99.52</v>
      </c>
      <c r="I44" s="2">
        <v>99.291629252718749</v>
      </c>
    </row>
    <row r="45" spans="1:9" x14ac:dyDescent="0.3">
      <c r="B45" s="9"/>
      <c r="C45" s="9"/>
      <c r="F45" s="7" t="s">
        <v>1006</v>
      </c>
      <c r="G45" s="5">
        <v>0.61364453320021539</v>
      </c>
      <c r="H45">
        <v>409.71</v>
      </c>
      <c r="I45" s="2">
        <v>409.09635546679976</v>
      </c>
    </row>
    <row r="46" spans="1:9" x14ac:dyDescent="0.3">
      <c r="F46" s="7" t="s">
        <v>754</v>
      </c>
      <c r="G46" s="5">
        <v>0.35529247354762106</v>
      </c>
      <c r="H46">
        <v>197.74</v>
      </c>
      <c r="I46" s="2">
        <v>197.38470752645239</v>
      </c>
    </row>
    <row r="47" spans="1:9" x14ac:dyDescent="0.3">
      <c r="F47" s="7" t="s">
        <v>1029</v>
      </c>
      <c r="G47" s="5">
        <v>0.45574567975234004</v>
      </c>
      <c r="H47">
        <v>414.77</v>
      </c>
      <c r="I47" s="2">
        <v>414.31425432024764</v>
      </c>
    </row>
    <row r="48" spans="1:9" ht="15.6" x14ac:dyDescent="0.3">
      <c r="A48" s="50"/>
      <c r="B48" s="50"/>
      <c r="F48" s="7" t="s">
        <v>652</v>
      </c>
      <c r="G48" s="5">
        <v>0.52083932853713577</v>
      </c>
      <c r="H48">
        <v>651.57000000000005</v>
      </c>
      <c r="I48" s="2">
        <v>651.04916067146291</v>
      </c>
    </row>
    <row r="49" spans="1:12" ht="15.6" x14ac:dyDescent="0.3">
      <c r="A49" s="37"/>
      <c r="B49" s="38"/>
      <c r="F49" s="7" t="s">
        <v>1546</v>
      </c>
      <c r="G49" s="5">
        <v>36.621382897022826</v>
      </c>
      <c r="H49">
        <v>73049.520000000033</v>
      </c>
      <c r="I49" s="2">
        <v>73012.898617102968</v>
      </c>
    </row>
    <row r="50" spans="1:12" ht="15.6" x14ac:dyDescent="0.3">
      <c r="A50" s="37"/>
      <c r="B50" s="39"/>
    </row>
    <row r="51" spans="1:12" ht="15.6" x14ac:dyDescent="0.3">
      <c r="A51" s="37"/>
      <c r="B51" s="40"/>
    </row>
    <row r="52" spans="1:12" ht="15.6" x14ac:dyDescent="0.3">
      <c r="A52" s="37"/>
      <c r="B52" s="39"/>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abSelected="1" topLeftCell="A35" zoomScale="44" zoomScaleNormal="25" workbookViewId="0">
      <selection activeCell="AA62" sqref="AA62"/>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8"/>
    </row>
    <row r="2" spans="2:28" ht="54.6" customHeight="1" x14ac:dyDescent="0.3">
      <c r="B2" s="36"/>
      <c r="C2" s="43" t="s">
        <v>1564</v>
      </c>
      <c r="D2" s="43"/>
      <c r="E2" s="43"/>
      <c r="F2" s="43"/>
      <c r="G2" s="43"/>
      <c r="H2" s="43"/>
      <c r="I2" s="43"/>
      <c r="J2" s="17"/>
      <c r="K2" s="17"/>
      <c r="L2" s="17"/>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7"/>
      <c r="N3" s="17"/>
      <c r="O3" s="17"/>
      <c r="P3" s="17"/>
      <c r="Q3" s="17"/>
      <c r="R3" s="17"/>
      <c r="S3" s="17"/>
      <c r="T3" s="17"/>
      <c r="U3" s="17"/>
      <c r="V3" s="17"/>
      <c r="W3" s="17"/>
      <c r="X3" s="17"/>
    </row>
    <row r="4" spans="2:28" ht="36.6" customHeight="1" thickBot="1" x14ac:dyDescent="0.35">
      <c r="C4" s="13"/>
      <c r="D4" s="13"/>
      <c r="E4" s="13"/>
      <c r="F4" s="13"/>
      <c r="G4" s="13"/>
      <c r="H4" s="13"/>
      <c r="I4" s="13"/>
      <c r="J4" s="13"/>
      <c r="K4" s="13"/>
      <c r="L4" s="13"/>
      <c r="M4" s="17"/>
      <c r="N4" s="17"/>
      <c r="O4" s="17"/>
      <c r="P4" s="17"/>
      <c r="Q4" s="17"/>
      <c r="R4" s="17"/>
      <c r="S4" s="17"/>
      <c r="T4" s="17"/>
      <c r="U4" s="17"/>
      <c r="V4" s="17"/>
      <c r="W4" s="17"/>
      <c r="X4" s="17"/>
      <c r="AA4" t="s">
        <v>1571</v>
      </c>
      <c r="AB4" s="11">
        <f>ABS(N8-O8)</f>
        <v>24083044001</v>
      </c>
    </row>
    <row r="5" spans="2:28" ht="28.8" x14ac:dyDescent="0.55000000000000004">
      <c r="C5" s="13"/>
      <c r="D5" s="13"/>
      <c r="E5" s="13"/>
      <c r="F5" s="13"/>
      <c r="G5" s="13"/>
      <c r="H5" s="13"/>
      <c r="I5" s="13"/>
      <c r="J5" s="13"/>
      <c r="K5" s="13"/>
      <c r="L5" s="13"/>
      <c r="M5" s="19" t="s">
        <v>0</v>
      </c>
      <c r="N5" s="20" t="s">
        <v>18</v>
      </c>
      <c r="O5" s="21" t="s">
        <v>27</v>
      </c>
      <c r="P5" s="17"/>
      <c r="Q5" s="17"/>
      <c r="R5" s="17"/>
      <c r="S5" s="17"/>
      <c r="T5" s="17"/>
      <c r="U5" s="17"/>
      <c r="V5" s="17"/>
      <c r="W5" s="17"/>
      <c r="X5" s="17"/>
      <c r="AA5" t="s">
        <v>1572</v>
      </c>
      <c r="AB5" s="11">
        <f>ABS(N9-O9)</f>
        <v>1113390756048</v>
      </c>
    </row>
    <row r="6" spans="2:28" ht="28.8" x14ac:dyDescent="0.55000000000000004">
      <c r="C6" s="13"/>
      <c r="D6" s="13"/>
      <c r="E6" s="13"/>
      <c r="F6" s="13"/>
      <c r="G6" s="13"/>
      <c r="H6" s="13"/>
      <c r="I6" s="13"/>
      <c r="J6" s="13"/>
      <c r="K6" s="13"/>
      <c r="L6" s="13"/>
      <c r="M6" s="22" t="s">
        <v>1</v>
      </c>
      <c r="N6" s="23" t="str">
        <f>_xlfn.XLOOKUP(N5,'Cleaned_Data'!A:A,'Cleaned_Data'!B:B)</f>
        <v>BTC</v>
      </c>
      <c r="O6" s="24" t="str">
        <f>_xlfn.XLOOKUP(O5,'Cleaned_Data'!A:A,'Cleaned_Data'!B:B)</f>
        <v>ETH</v>
      </c>
      <c r="P6" s="17"/>
      <c r="Q6" s="17"/>
      <c r="R6" s="17"/>
      <c r="S6" s="17"/>
      <c r="T6" s="17"/>
      <c r="U6" s="17"/>
      <c r="V6" s="17"/>
      <c r="W6" s="17"/>
      <c r="X6" s="17"/>
      <c r="AA6" t="s">
        <v>1573</v>
      </c>
      <c r="AB6" s="11">
        <f>ABS(N10-O10)</f>
        <v>100700000</v>
      </c>
    </row>
    <row r="7" spans="2:28" ht="28.8" x14ac:dyDescent="0.55000000000000004">
      <c r="C7" s="13"/>
      <c r="D7" s="13"/>
      <c r="E7" s="13"/>
      <c r="F7" s="13"/>
      <c r="G7" s="13"/>
      <c r="H7" s="13"/>
      <c r="I7" s="13"/>
      <c r="J7" s="13"/>
      <c r="K7" s="13"/>
      <c r="L7" s="13"/>
      <c r="M7" s="22" t="s">
        <v>1552</v>
      </c>
      <c r="N7" s="23">
        <f>_xlfn.XLOOKUP(N5,'Cleaned_Data'!A:A,'Cleaned_Data'!C:C)</f>
        <v>68106.12</v>
      </c>
      <c r="O7" s="25">
        <f>_xlfn.XLOOKUP(O5,'Cleaned_Data'!A:A,'Cleaned_Data'!C:C)</f>
        <v>2049.58</v>
      </c>
      <c r="P7" s="17"/>
      <c r="Q7" s="17"/>
      <c r="R7" s="17"/>
      <c r="S7" s="17"/>
      <c r="T7" s="17"/>
      <c r="U7" s="17"/>
      <c r="V7" s="17"/>
      <c r="W7" s="17"/>
      <c r="X7" s="17"/>
    </row>
    <row r="8" spans="2:28" ht="28.8" x14ac:dyDescent="0.55000000000000004">
      <c r="C8" s="13"/>
      <c r="D8" s="13"/>
      <c r="E8" s="13"/>
      <c r="F8" s="13"/>
      <c r="G8" s="13"/>
      <c r="H8" s="13"/>
      <c r="I8" s="13"/>
      <c r="J8" s="13"/>
      <c r="K8" s="13"/>
      <c r="L8" s="13"/>
      <c r="M8" s="22" t="s">
        <v>1558</v>
      </c>
      <c r="N8" s="26">
        <f>_xlfn.XLOOKUP(N5,'Cleaned_Data'!A:A,'Cleaned_Data'!H:H)</f>
        <v>55110655820</v>
      </c>
      <c r="O8" s="27">
        <f>_xlfn.XLOOKUP(O5,'Cleaned_Data'!A:A,'Cleaned_Data'!H:H)</f>
        <v>31027611819</v>
      </c>
      <c r="P8" s="17"/>
      <c r="Q8" s="17"/>
      <c r="R8" s="17"/>
      <c r="S8" s="17"/>
      <c r="T8" s="17"/>
      <c r="U8" s="17"/>
      <c r="V8" s="17"/>
      <c r="W8" s="17"/>
      <c r="X8" s="17"/>
    </row>
    <row r="9" spans="2:28" ht="28.8" x14ac:dyDescent="0.55000000000000004">
      <c r="C9" s="13"/>
      <c r="D9" s="13"/>
      <c r="E9" s="13"/>
      <c r="F9" s="13"/>
      <c r="G9" s="13"/>
      <c r="H9" s="13"/>
      <c r="I9" s="13"/>
      <c r="J9" s="13"/>
      <c r="K9" s="13"/>
      <c r="L9" s="13"/>
      <c r="M9" s="22" t="s">
        <v>6</v>
      </c>
      <c r="N9" s="26">
        <f>_xlfn.XLOOKUP(N5,'Cleaned_Data'!A:A,'Cleaned_Data'!G:G)</f>
        <v>1360805946728</v>
      </c>
      <c r="O9" s="27">
        <f>_xlfn.XLOOKUP(O5,'Cleaned_Data'!A:A,'Cleaned_Data'!G:G)</f>
        <v>247415190680</v>
      </c>
      <c r="P9" s="17"/>
      <c r="Q9" s="17"/>
      <c r="R9" s="17"/>
      <c r="S9" s="17"/>
      <c r="T9" s="17"/>
      <c r="U9" s="17"/>
      <c r="V9" s="17"/>
      <c r="W9" s="17"/>
      <c r="X9" s="17"/>
    </row>
    <row r="10" spans="2:28" ht="29.4" thickBot="1" x14ac:dyDescent="0.6">
      <c r="C10" s="13"/>
      <c r="D10" s="13"/>
      <c r="E10" s="13"/>
      <c r="F10" s="13"/>
      <c r="G10" s="13"/>
      <c r="H10" s="13"/>
      <c r="I10" s="13"/>
      <c r="J10" s="13"/>
      <c r="K10" s="13"/>
      <c r="L10" s="13"/>
      <c r="M10" s="28" t="s">
        <v>8</v>
      </c>
      <c r="N10" s="29">
        <f>_xlfn.XLOOKUP(N5,'Cleaned_Data'!A:A,'Cleaned_Data'!I:I)</f>
        <v>19990000</v>
      </c>
      <c r="O10" s="30">
        <f>_xlfn.XLOOKUP(O5,'Cleaned_Data'!A:A,'Cleaned_Data'!I:I)</f>
        <v>120690000</v>
      </c>
      <c r="P10" s="17"/>
      <c r="Q10" s="17"/>
      <c r="R10" s="17"/>
      <c r="S10" s="17"/>
      <c r="T10" s="17"/>
      <c r="U10" s="17"/>
      <c r="V10" s="17"/>
      <c r="W10" s="17"/>
      <c r="X10" s="17"/>
    </row>
    <row r="11" spans="2:28" x14ac:dyDescent="0.3">
      <c r="C11" s="13"/>
      <c r="D11" s="13"/>
      <c r="E11" s="13"/>
      <c r="F11" s="13"/>
      <c r="G11" s="13"/>
      <c r="H11" s="13"/>
      <c r="I11" s="13"/>
      <c r="J11" s="13"/>
      <c r="K11" s="13"/>
      <c r="L11" s="13"/>
      <c r="M11" s="17"/>
      <c r="N11" s="17"/>
      <c r="O11" s="17"/>
      <c r="P11" s="17"/>
      <c r="Q11" s="17"/>
      <c r="R11" s="17"/>
      <c r="S11" s="17"/>
      <c r="T11" s="17"/>
      <c r="U11" s="17"/>
      <c r="V11" s="17"/>
      <c r="W11" s="17"/>
      <c r="X11" s="17"/>
    </row>
    <row r="12" spans="2:28" ht="34.799999999999997" customHeight="1" x14ac:dyDescent="0.3">
      <c r="C12" s="13"/>
      <c r="D12" s="13"/>
      <c r="E12" s="13"/>
      <c r="F12" s="13"/>
      <c r="G12" s="13"/>
      <c r="H12" s="13"/>
      <c r="I12" s="13"/>
      <c r="J12" s="13"/>
      <c r="K12" s="13"/>
      <c r="L12" s="13"/>
      <c r="M12" s="17"/>
      <c r="N12" s="17"/>
      <c r="O12" s="17"/>
      <c r="P12" s="17"/>
      <c r="Q12" s="17"/>
      <c r="R12" s="17"/>
      <c r="S12" s="17"/>
      <c r="T12" s="17"/>
      <c r="U12" s="17"/>
      <c r="V12" s="17"/>
      <c r="W12" s="17"/>
      <c r="X12" s="17"/>
    </row>
    <row r="13" spans="2:28" x14ac:dyDescent="0.3">
      <c r="C13" s="13"/>
      <c r="D13" s="13"/>
      <c r="E13" s="13"/>
      <c r="F13" s="13"/>
      <c r="G13" s="13"/>
      <c r="H13" s="13"/>
      <c r="I13" s="13"/>
      <c r="J13" s="13"/>
      <c r="K13" s="13"/>
      <c r="L13" s="13"/>
      <c r="M13" s="17"/>
      <c r="N13" s="17"/>
      <c r="O13" s="17"/>
      <c r="P13" s="17"/>
      <c r="Q13" s="17"/>
      <c r="R13" s="17"/>
      <c r="S13" s="17"/>
      <c r="T13" s="17"/>
      <c r="U13" s="17"/>
      <c r="V13" s="17"/>
      <c r="W13" s="17"/>
      <c r="X13" s="17"/>
    </row>
    <row r="14" spans="2:28" x14ac:dyDescent="0.3">
      <c r="C14" s="13"/>
      <c r="D14" s="13"/>
      <c r="E14" s="13"/>
      <c r="F14" s="13"/>
      <c r="G14" s="13"/>
      <c r="H14" s="13"/>
      <c r="I14" s="13"/>
      <c r="J14" s="13"/>
      <c r="K14" s="13"/>
      <c r="L14" s="13"/>
      <c r="M14" s="17"/>
      <c r="N14" s="17"/>
      <c r="O14" s="17"/>
      <c r="P14" s="17"/>
      <c r="Q14" s="17"/>
      <c r="R14" s="17"/>
      <c r="S14" s="17"/>
      <c r="T14" s="17"/>
      <c r="U14" s="17"/>
      <c r="V14" s="17"/>
      <c r="W14" s="17"/>
      <c r="X14" s="17"/>
    </row>
    <row r="15" spans="2:28" x14ac:dyDescent="0.3">
      <c r="C15" s="13"/>
      <c r="D15" s="13"/>
      <c r="E15" s="13"/>
      <c r="F15" s="13"/>
      <c r="G15" s="13"/>
      <c r="H15" s="13"/>
      <c r="I15" s="13"/>
      <c r="J15" s="13"/>
      <c r="K15" s="13"/>
      <c r="L15" s="13"/>
      <c r="M15" s="17"/>
      <c r="N15" s="17"/>
      <c r="O15" s="17"/>
      <c r="P15" s="17"/>
      <c r="Q15" s="17"/>
      <c r="R15" s="17"/>
      <c r="S15" s="17"/>
      <c r="T15" s="17"/>
      <c r="U15" s="17"/>
      <c r="V15" s="17"/>
      <c r="W15" s="17"/>
      <c r="X15" s="17"/>
    </row>
    <row r="16" spans="2:28" x14ac:dyDescent="0.3">
      <c r="C16" s="13"/>
      <c r="D16" s="13"/>
      <c r="E16" s="13"/>
      <c r="F16" s="13"/>
      <c r="G16" s="13"/>
      <c r="H16" s="13"/>
      <c r="I16" s="13"/>
      <c r="J16" s="13"/>
      <c r="K16" s="13"/>
      <c r="L16" s="13"/>
      <c r="M16" s="17"/>
      <c r="N16" s="17"/>
      <c r="O16" s="17"/>
      <c r="P16" s="17"/>
      <c r="Q16" s="17"/>
      <c r="R16" s="17"/>
      <c r="S16" s="17"/>
      <c r="T16" s="17"/>
      <c r="U16" s="17"/>
      <c r="V16" s="17"/>
      <c r="W16" s="17"/>
      <c r="X16" s="17"/>
    </row>
    <row r="17" spans="3:24" ht="14.4" customHeight="1" x14ac:dyDescent="0.3">
      <c r="C17" s="34"/>
      <c r="D17" s="35"/>
      <c r="E17" s="35"/>
      <c r="F17" s="35"/>
      <c r="G17" s="35"/>
      <c r="H17" s="35"/>
      <c r="I17" s="35"/>
      <c r="J17" s="35"/>
      <c r="K17" s="35"/>
      <c r="L17" s="35"/>
      <c r="M17" s="17"/>
      <c r="N17" s="17"/>
      <c r="O17" s="17"/>
      <c r="P17" s="17"/>
      <c r="Q17" s="17"/>
      <c r="R17" s="17"/>
      <c r="S17" s="17"/>
      <c r="T17" s="17"/>
      <c r="U17" s="17"/>
      <c r="V17" s="17"/>
      <c r="W17" s="17"/>
      <c r="X17" s="17"/>
    </row>
    <row r="18" spans="3:24" ht="14.4" customHeight="1" x14ac:dyDescent="0.3">
      <c r="C18" s="45" t="s">
        <v>1565</v>
      </c>
      <c r="D18" s="49"/>
      <c r="E18" s="49"/>
      <c r="F18" s="49"/>
      <c r="G18" s="49"/>
      <c r="H18" s="49"/>
      <c r="I18" s="49"/>
      <c r="J18" s="49"/>
      <c r="K18" s="49"/>
      <c r="L18" s="35"/>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5"/>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5"/>
      <c r="M20" s="45"/>
      <c r="N20" s="45"/>
      <c r="O20" s="45"/>
      <c r="P20" s="13"/>
      <c r="Q20" s="13"/>
      <c r="R20" s="13"/>
      <c r="S20" s="13"/>
      <c r="T20" s="13"/>
      <c r="U20" s="13"/>
      <c r="V20" s="13"/>
      <c r="W20" s="13"/>
      <c r="X20" s="13"/>
    </row>
    <row r="21" spans="3:24" ht="14.4" customHeight="1" x14ac:dyDescent="0.3">
      <c r="C21" s="35"/>
      <c r="D21" s="35"/>
      <c r="E21" s="35"/>
      <c r="F21" s="35"/>
      <c r="G21" s="35"/>
      <c r="H21" s="35"/>
      <c r="I21" s="35"/>
      <c r="J21" s="35"/>
      <c r="K21" s="35"/>
      <c r="L21" s="35"/>
      <c r="M21" s="45"/>
      <c r="N21" s="45"/>
      <c r="O21" s="45"/>
      <c r="P21" s="13"/>
      <c r="Q21" s="13"/>
      <c r="R21" s="13"/>
      <c r="S21" s="13"/>
      <c r="T21" s="13"/>
      <c r="U21" s="13"/>
      <c r="V21" s="13"/>
      <c r="W21" s="13"/>
      <c r="X21" s="13"/>
    </row>
    <row r="22" spans="3:24" ht="14.4" customHeight="1" x14ac:dyDescent="0.3">
      <c r="C22" s="35"/>
      <c r="D22" s="35"/>
      <c r="E22" s="35"/>
      <c r="F22" s="35"/>
      <c r="G22" s="35"/>
      <c r="H22" s="35"/>
      <c r="I22" s="35"/>
      <c r="J22" s="35"/>
      <c r="K22" s="35"/>
      <c r="L22" s="35"/>
      <c r="M22" s="31"/>
      <c r="N22" s="31"/>
      <c r="O22" s="32"/>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3"/>
      <c r="N43" s="33"/>
      <c r="O43" s="33"/>
      <c r="P43" s="33"/>
      <c r="Q43" s="33"/>
      <c r="R43" s="33"/>
      <c r="S43" s="33"/>
      <c r="T43" s="33"/>
      <c r="U43" s="33"/>
      <c r="V43" s="33"/>
      <c r="W43" s="33"/>
      <c r="X43" s="33"/>
    </row>
    <row r="44" spans="3:24" x14ac:dyDescent="0.3">
      <c r="C44" s="13"/>
      <c r="D44" s="13"/>
      <c r="E44" s="13"/>
      <c r="F44" s="13"/>
      <c r="G44" s="13"/>
      <c r="H44" s="13"/>
      <c r="I44" s="13"/>
      <c r="J44" s="13"/>
      <c r="K44" s="13"/>
      <c r="L44" s="13"/>
      <c r="M44" s="33"/>
      <c r="N44" s="33"/>
      <c r="O44" s="33"/>
      <c r="P44" s="33"/>
      <c r="Q44" s="33"/>
      <c r="R44" s="33"/>
      <c r="S44" s="33"/>
      <c r="T44" s="33"/>
      <c r="U44" s="33"/>
      <c r="V44" s="33"/>
      <c r="W44" s="33"/>
      <c r="X44" s="33"/>
    </row>
    <row r="45" spans="3:24" ht="53.4" customHeight="1" x14ac:dyDescent="0.3">
      <c r="C45" s="13"/>
      <c r="D45" s="13"/>
      <c r="E45" s="13"/>
      <c r="F45" s="13"/>
      <c r="G45" s="13"/>
      <c r="H45" s="13"/>
      <c r="I45" s="13"/>
      <c r="J45" s="13"/>
      <c r="K45" s="13"/>
      <c r="L45" s="13"/>
      <c r="M45" s="33"/>
      <c r="N45" s="45" t="s">
        <v>1567</v>
      </c>
      <c r="O45" s="46"/>
      <c r="P45" s="46"/>
      <c r="Q45" s="46"/>
      <c r="R45" s="46"/>
      <c r="S45" s="46"/>
      <c r="T45" s="46"/>
      <c r="U45" s="46"/>
      <c r="V45" s="46"/>
      <c r="W45" s="33"/>
      <c r="X45" s="33"/>
    </row>
    <row r="46" spans="3:24" x14ac:dyDescent="0.3">
      <c r="C46" s="13"/>
      <c r="D46" s="13"/>
      <c r="E46" s="13"/>
      <c r="F46" s="13"/>
      <c r="G46" s="13"/>
      <c r="H46" s="13"/>
      <c r="I46" s="13"/>
      <c r="J46" s="13"/>
      <c r="K46" s="13"/>
      <c r="L46" s="13"/>
      <c r="M46" s="33"/>
      <c r="N46" s="33"/>
      <c r="O46" s="33"/>
      <c r="P46" s="33"/>
      <c r="Q46" s="33"/>
      <c r="R46" s="33"/>
      <c r="S46" s="33"/>
      <c r="T46" s="33"/>
      <c r="U46" s="33"/>
      <c r="V46" s="33"/>
      <c r="W46" s="33"/>
      <c r="X46" s="33"/>
    </row>
    <row r="47" spans="3:24" ht="14.4" customHeight="1" x14ac:dyDescent="0.3">
      <c r="C47" s="13"/>
      <c r="D47" s="44" t="s">
        <v>1566</v>
      </c>
      <c r="E47" s="44"/>
      <c r="F47" s="44"/>
      <c r="G47" s="44"/>
      <c r="H47" s="44"/>
      <c r="I47" s="44"/>
      <c r="J47" s="44"/>
      <c r="K47" s="13"/>
      <c r="L47" s="13"/>
      <c r="M47" s="33"/>
      <c r="N47" s="35"/>
      <c r="O47" s="35"/>
      <c r="P47" s="35"/>
      <c r="Q47" s="35"/>
      <c r="R47" s="35"/>
      <c r="S47" s="35"/>
      <c r="T47" s="35"/>
      <c r="U47" s="35"/>
      <c r="V47" s="35"/>
      <c r="W47" s="35"/>
      <c r="X47" s="33"/>
    </row>
    <row r="48" spans="3:24" ht="14.4" customHeight="1" x14ac:dyDescent="0.3">
      <c r="C48" s="13"/>
      <c r="D48" s="44"/>
      <c r="E48" s="44"/>
      <c r="F48" s="44"/>
      <c r="G48" s="44"/>
      <c r="H48" s="44"/>
      <c r="I48" s="44"/>
      <c r="J48" s="44"/>
      <c r="K48" s="13"/>
      <c r="L48" s="13"/>
      <c r="M48" s="33"/>
      <c r="N48" s="35"/>
      <c r="O48" s="35"/>
      <c r="P48" s="35"/>
      <c r="Q48" s="35"/>
      <c r="R48" s="35"/>
      <c r="S48" s="35"/>
      <c r="T48" s="35"/>
      <c r="U48" s="35"/>
      <c r="V48" s="35"/>
      <c r="W48" s="35"/>
      <c r="X48" s="33"/>
    </row>
    <row r="49" spans="3:24" ht="14.4" customHeight="1" x14ac:dyDescent="0.3">
      <c r="C49" s="13"/>
      <c r="D49" s="44"/>
      <c r="E49" s="44"/>
      <c r="F49" s="44"/>
      <c r="G49" s="44"/>
      <c r="H49" s="44"/>
      <c r="I49" s="44"/>
      <c r="J49" s="44"/>
      <c r="K49" s="13"/>
      <c r="L49" s="13"/>
      <c r="M49" s="33"/>
      <c r="N49" s="35"/>
      <c r="O49" s="35"/>
      <c r="P49" s="35"/>
      <c r="Q49" s="35"/>
      <c r="R49" s="35"/>
      <c r="S49" s="35"/>
      <c r="T49" s="35"/>
      <c r="U49" s="35"/>
      <c r="V49" s="35"/>
      <c r="W49" s="35"/>
      <c r="X49" s="33"/>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51" t="s">
        <v>1574</v>
      </c>
      <c r="D77" s="51"/>
      <c r="E77" s="51"/>
      <c r="F77" s="51"/>
      <c r="G77" s="51"/>
      <c r="H77" s="51"/>
      <c r="I77" s="51"/>
      <c r="J77" s="51"/>
      <c r="K77" s="51"/>
      <c r="L77" s="51"/>
      <c r="M77" s="51"/>
      <c r="N77" s="51"/>
      <c r="O77" s="52" t="s">
        <v>1576</v>
      </c>
      <c r="P77" s="53"/>
      <c r="Q77" s="53"/>
      <c r="R77" s="53"/>
      <c r="S77" s="53"/>
      <c r="T77" s="53"/>
      <c r="U77" s="53"/>
      <c r="V77" s="53"/>
      <c r="W77" s="53"/>
      <c r="X77" s="53"/>
    </row>
    <row r="78" spans="3:24" x14ac:dyDescent="0.3">
      <c r="C78" s="51"/>
      <c r="D78" s="51"/>
      <c r="E78" s="51"/>
      <c r="F78" s="51"/>
      <c r="G78" s="51"/>
      <c r="H78" s="51"/>
      <c r="I78" s="51"/>
      <c r="J78" s="51"/>
      <c r="K78" s="51"/>
      <c r="L78" s="51"/>
      <c r="M78" s="51"/>
      <c r="N78" s="51"/>
      <c r="O78" s="53"/>
      <c r="P78" s="53"/>
      <c r="Q78" s="53"/>
      <c r="R78" s="53"/>
      <c r="S78" s="53"/>
      <c r="T78" s="53"/>
      <c r="U78" s="53"/>
      <c r="V78" s="53"/>
      <c r="W78" s="53"/>
      <c r="X78" s="53"/>
    </row>
    <row r="79" spans="3:24" x14ac:dyDescent="0.3">
      <c r="C79" s="51"/>
      <c r="D79" s="51"/>
      <c r="E79" s="51"/>
      <c r="F79" s="51"/>
      <c r="G79" s="51"/>
      <c r="H79" s="51"/>
      <c r="I79" s="51"/>
      <c r="J79" s="51"/>
      <c r="K79" s="51"/>
      <c r="L79" s="51"/>
      <c r="M79" s="51"/>
      <c r="N79" s="51"/>
      <c r="O79" s="53"/>
      <c r="P79" s="53"/>
      <c r="Q79" s="53"/>
      <c r="R79" s="53"/>
      <c r="S79" s="53"/>
      <c r="T79" s="53"/>
      <c r="U79" s="53"/>
      <c r="V79" s="53"/>
      <c r="W79" s="53"/>
      <c r="X79" s="53"/>
    </row>
    <row r="80" spans="3:24" x14ac:dyDescent="0.3">
      <c r="C80" s="51"/>
      <c r="D80" s="51"/>
      <c r="E80" s="51"/>
      <c r="F80" s="51"/>
      <c r="G80" s="51"/>
      <c r="H80" s="51"/>
      <c r="I80" s="51"/>
      <c r="J80" s="51"/>
      <c r="K80" s="51"/>
      <c r="L80" s="51"/>
      <c r="M80" s="51"/>
      <c r="N80" s="51"/>
      <c r="O80" s="53"/>
      <c r="P80" s="53"/>
      <c r="Q80" s="53"/>
      <c r="R80" s="53"/>
      <c r="S80" s="53"/>
      <c r="T80" s="53"/>
      <c r="U80" s="53"/>
      <c r="V80" s="53"/>
      <c r="W80" s="53"/>
      <c r="X80" s="53"/>
    </row>
    <row r="81" spans="3:24" x14ac:dyDescent="0.3">
      <c r="C81" s="51"/>
      <c r="D81" s="51"/>
      <c r="E81" s="51"/>
      <c r="F81" s="51"/>
      <c r="G81" s="51"/>
      <c r="H81" s="51"/>
      <c r="I81" s="51"/>
      <c r="J81" s="51"/>
      <c r="K81" s="51"/>
      <c r="L81" s="51"/>
      <c r="M81" s="51"/>
      <c r="N81" s="51"/>
      <c r="O81" s="52" t="s">
        <v>1575</v>
      </c>
      <c r="P81" s="53"/>
      <c r="Q81" s="53"/>
      <c r="R81" s="53"/>
      <c r="S81" s="53"/>
      <c r="T81" s="53"/>
      <c r="U81" s="53"/>
      <c r="V81" s="53"/>
      <c r="W81" s="53"/>
      <c r="X81" s="53"/>
    </row>
    <row r="82" spans="3:24" x14ac:dyDescent="0.3">
      <c r="C82" s="51"/>
      <c r="D82" s="51"/>
      <c r="E82" s="51"/>
      <c r="F82" s="51"/>
      <c r="G82" s="51"/>
      <c r="H82" s="51"/>
      <c r="I82" s="51"/>
      <c r="J82" s="51"/>
      <c r="K82" s="51"/>
      <c r="L82" s="51"/>
      <c r="M82" s="51"/>
      <c r="N82" s="51"/>
      <c r="O82" s="53"/>
      <c r="P82" s="53"/>
      <c r="Q82" s="53"/>
      <c r="R82" s="53"/>
      <c r="S82" s="53"/>
      <c r="T82" s="53"/>
      <c r="U82" s="53"/>
      <c r="V82" s="53"/>
      <c r="W82" s="53"/>
      <c r="X82" s="53"/>
    </row>
    <row r="83" spans="3:24" x14ac:dyDescent="0.3">
      <c r="C83" s="51"/>
      <c r="D83" s="51"/>
      <c r="E83" s="51"/>
      <c r="F83" s="51"/>
      <c r="G83" s="51"/>
      <c r="H83" s="51"/>
      <c r="I83" s="51"/>
      <c r="J83" s="51"/>
      <c r="K83" s="51"/>
      <c r="L83" s="51"/>
      <c r="M83" s="51"/>
      <c r="N83" s="51"/>
      <c r="O83" s="53"/>
      <c r="P83" s="53"/>
      <c r="Q83" s="53"/>
      <c r="R83" s="53"/>
      <c r="S83" s="53"/>
      <c r="T83" s="53"/>
      <c r="U83" s="53"/>
      <c r="V83" s="53"/>
      <c r="W83" s="53"/>
      <c r="X83" s="53"/>
    </row>
    <row r="84" spans="3:24" x14ac:dyDescent="0.3">
      <c r="C84" s="51"/>
      <c r="D84" s="51"/>
      <c r="E84" s="51"/>
      <c r="F84" s="51"/>
      <c r="G84" s="51"/>
      <c r="H84" s="51"/>
      <c r="I84" s="51"/>
      <c r="J84" s="51"/>
      <c r="K84" s="51"/>
      <c r="L84" s="51"/>
      <c r="M84" s="51"/>
      <c r="N84" s="51"/>
      <c r="O84" s="53"/>
      <c r="P84" s="53"/>
      <c r="Q84" s="53"/>
      <c r="R84" s="53"/>
      <c r="S84" s="53"/>
      <c r="T84" s="53"/>
      <c r="U84" s="53"/>
      <c r="V84" s="53"/>
      <c r="W84" s="53"/>
      <c r="X84" s="53"/>
    </row>
    <row r="95" spans="3:24" x14ac:dyDescent="0.3">
      <c r="F95" s="13"/>
      <c r="G95" s="13"/>
    </row>
  </sheetData>
  <mergeCells count="9">
    <mergeCell ref="O77:X80"/>
    <mergeCell ref="O81:X84"/>
    <mergeCell ref="C1:W1"/>
    <mergeCell ref="C2:I2"/>
    <mergeCell ref="D47:J50"/>
    <mergeCell ref="N45:V45"/>
    <mergeCell ref="M18:O21"/>
    <mergeCell ref="M2:X2"/>
    <mergeCell ref="C18:K20"/>
  </mergeCells>
  <dataValidations count="1">
    <dataValidation type="custom" allowBlank="1" showInputMessage="1" showErrorMessage="1" sqref="N5: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7FB6-E499-4541-A9B2-4EC7521924A6}">
  <sheetPr codeName="Sheet8"/>
  <dimension ref="A1:B7"/>
  <sheetViews>
    <sheetView workbookViewId="0">
      <selection activeCell="G10" activeCellId="1" sqref="G15 G10"/>
    </sheetView>
  </sheetViews>
  <sheetFormatPr defaultRowHeight="14.4" x14ac:dyDescent="0.3"/>
  <sheetData>
    <row r="1" spans="1:2" ht="18" x14ac:dyDescent="0.35">
      <c r="A1" s="14" t="s">
        <v>1545</v>
      </c>
      <c r="B1" s="14" t="s">
        <v>1556</v>
      </c>
    </row>
    <row r="2" spans="1:2" ht="18" x14ac:dyDescent="0.35">
      <c r="A2" s="15" t="s">
        <v>92</v>
      </c>
      <c r="B2" s="16">
        <v>1152105381</v>
      </c>
    </row>
    <row r="3" spans="1:2" ht="18" x14ac:dyDescent="0.35">
      <c r="A3" s="15" t="s">
        <v>84</v>
      </c>
      <c r="B3" s="16">
        <v>1815598681</v>
      </c>
    </row>
    <row r="4" spans="1:2" ht="18" x14ac:dyDescent="0.35">
      <c r="A4" s="15" t="s">
        <v>36</v>
      </c>
      <c r="B4" s="16">
        <v>110724997343</v>
      </c>
    </row>
    <row r="5" spans="1:2" ht="18" x14ac:dyDescent="0.35">
      <c r="A5" s="15" t="s">
        <v>59</v>
      </c>
      <c r="B5" s="16">
        <v>15183054533</v>
      </c>
    </row>
    <row r="6" spans="1:2" ht="18" x14ac:dyDescent="0.35">
      <c r="A6" s="15" t="s">
        <v>43</v>
      </c>
      <c r="B6" s="16">
        <v>4421248180</v>
      </c>
    </row>
    <row r="7" spans="1:2" ht="18" x14ac:dyDescent="0.35">
      <c r="A7" s="15" t="s">
        <v>1557</v>
      </c>
      <c r="B7" s="16">
        <f>Sheet3!C20</f>
        <v>120072369217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KPI</vt:lpstr>
      <vt:lpstr>Sheet3</vt:lpstr>
      <vt:lpstr>Sheet7</vt:lpstr>
      <vt:lpstr>Sheet4</vt:lpstr>
      <vt:lpstr>Security</vt:lpstr>
      <vt:lpstr>Crypto_Dashboard</vt:lpstr>
      <vt:lpstr>Sheet2</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2026-03-09T12:51:06Z</dcterms:modified>
</cp:coreProperties>
</file>